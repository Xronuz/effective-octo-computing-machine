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-120" yWindow="-120" windowWidth="29040" windowHeight="15840" tabRatio="843"/>
  </bookViews>
  <sheets>
    <sheet name="Уйчи" sheetId="4" r:id="rId1"/>
  </sheets>
  <definedNames>
    <definedName name="_xlnm.Print_Area" localSheetId="0">Уйчи!$A$1:$E$540</definedName>
  </definedNames>
  <calcPr calcId="162913"/>
</workbook>
</file>

<file path=xl/calcChain.xml><?xml version="1.0" encoding="utf-8"?>
<calcChain xmlns="http://schemas.openxmlformats.org/spreadsheetml/2006/main">
  <c r="E540" i="4" l="1"/>
  <c r="D540" i="4"/>
  <c r="D518" i="4" l="1"/>
  <c r="D516" i="4"/>
  <c r="D515" i="4"/>
  <c r="D514" i="4"/>
  <c r="D513" i="4"/>
  <c r="D510" i="4"/>
  <c r="D509" i="4"/>
  <c r="D508" i="4"/>
  <c r="D507" i="4"/>
  <c r="D506" i="4"/>
  <c r="D505" i="4"/>
  <c r="E519" i="4"/>
  <c r="D519" i="4" l="1"/>
  <c r="D486" i="4"/>
  <c r="D485" i="4"/>
  <c r="D484" i="4"/>
  <c r="D483" i="4"/>
  <c r="D482" i="4"/>
  <c r="D481" i="4"/>
  <c r="D480" i="4"/>
  <c r="D479" i="4"/>
  <c r="D478" i="4"/>
  <c r="D488" i="4"/>
  <c r="D489" i="4"/>
  <c r="D490" i="4"/>
  <c r="D493" i="4"/>
  <c r="D496" i="4"/>
  <c r="D477" i="4"/>
  <c r="E497" i="4"/>
  <c r="D475" i="4"/>
  <c r="D473" i="4"/>
  <c r="D472" i="4"/>
  <c r="D471" i="4"/>
  <c r="D470" i="4"/>
  <c r="D467" i="4"/>
  <c r="D463" i="4"/>
  <c r="D462" i="4"/>
  <c r="D461" i="4"/>
  <c r="D460" i="4"/>
  <c r="D459" i="4"/>
  <c r="D458" i="4"/>
  <c r="D457" i="4"/>
  <c r="E476" i="4"/>
  <c r="D450" i="4"/>
  <c r="D449" i="4"/>
  <c r="D455" i="4"/>
  <c r="D453" i="4"/>
  <c r="D452" i="4"/>
  <c r="D451" i="4"/>
  <c r="E456" i="4"/>
  <c r="E448" i="4"/>
  <c r="D448" i="4"/>
  <c r="D438" i="4"/>
  <c r="D439" i="4"/>
  <c r="D440" i="4"/>
  <c r="D436" i="4"/>
  <c r="D435" i="4"/>
  <c r="E441" i="4"/>
  <c r="D389" i="4"/>
  <c r="E389" i="4"/>
  <c r="D395" i="4"/>
  <c r="E395" i="4"/>
  <c r="D402" i="4"/>
  <c r="E402" i="4"/>
  <c r="D408" i="4"/>
  <c r="E408" i="4"/>
  <c r="E434" i="4"/>
  <c r="D434" i="4"/>
  <c r="D367" i="4"/>
  <c r="E367" i="4"/>
  <c r="D350" i="4"/>
  <c r="E350" i="4"/>
  <c r="D339" i="4"/>
  <c r="E339" i="4"/>
  <c r="D328" i="4"/>
  <c r="E328" i="4"/>
  <c r="D318" i="4"/>
  <c r="E318" i="4"/>
  <c r="D309" i="4"/>
  <c r="E309" i="4"/>
  <c r="D303" i="4"/>
  <c r="E303" i="4"/>
  <c r="D292" i="4"/>
  <c r="E292" i="4"/>
  <c r="D282" i="4"/>
  <c r="E282" i="4"/>
  <c r="D274" i="4"/>
  <c r="E274" i="4"/>
  <c r="D261" i="4"/>
  <c r="D249" i="4"/>
  <c r="D235" i="4"/>
  <c r="E235" i="4"/>
  <c r="D216" i="4"/>
  <c r="E216" i="4"/>
  <c r="D169" i="4"/>
  <c r="E169" i="4"/>
  <c r="D162" i="4"/>
  <c r="E162" i="4"/>
  <c r="D150" i="4"/>
  <c r="E150" i="4"/>
  <c r="D144" i="4"/>
  <c r="E144" i="4"/>
  <c r="D133" i="4"/>
  <c r="E133" i="4"/>
  <c r="D124" i="4"/>
  <c r="E124" i="4"/>
  <c r="D113" i="4"/>
  <c r="E113" i="4"/>
  <c r="D107" i="4"/>
  <c r="E107" i="4"/>
  <c r="D96" i="4"/>
  <c r="E96" i="4"/>
  <c r="D86" i="4"/>
  <c r="E86" i="4"/>
  <c r="D76" i="4"/>
  <c r="E76" i="4"/>
  <c r="D58" i="4"/>
  <c r="E58" i="4"/>
  <c r="D47" i="4"/>
  <c r="D39" i="4"/>
  <c r="E39" i="4"/>
  <c r="D20" i="4"/>
  <c r="E20" i="4"/>
  <c r="D11" i="4"/>
  <c r="E11" i="4"/>
  <c r="E419" i="4"/>
  <c r="D476" i="4" l="1"/>
  <c r="D497" i="4"/>
  <c r="D456" i="4"/>
  <c r="D441" i="4"/>
  <c r="E378" i="4" l="1"/>
  <c r="D378" i="4"/>
  <c r="E261" i="4" l="1"/>
  <c r="E249" i="4" l="1"/>
  <c r="E241" i="4" l="1"/>
  <c r="D241" i="4"/>
  <c r="E209" i="4"/>
  <c r="D209" i="4"/>
  <c r="E202" i="4" l="1"/>
  <c r="D202" i="4"/>
  <c r="E185" i="4" l="1"/>
  <c r="D185" i="4"/>
  <c r="E176" i="4"/>
  <c r="D176" i="4"/>
  <c r="E69" i="4" l="1"/>
  <c r="D69" i="4"/>
  <c r="E47" i="4" l="1"/>
  <c r="E28" i="4" l="1"/>
  <c r="E4" i="4" s="1"/>
  <c r="D28" i="4"/>
  <c r="D4" i="4" s="1"/>
</calcChain>
</file>

<file path=xl/sharedStrings.xml><?xml version="1.0" encoding="utf-8"?>
<sst xmlns="http://schemas.openxmlformats.org/spreadsheetml/2006/main" count="598" uniqueCount="495">
  <si>
    <t>№</t>
  </si>
  <si>
    <t>Маҳалла номи</t>
  </si>
  <si>
    <t>Кўча номи</t>
  </si>
  <si>
    <t>Мустақиллик</t>
  </si>
  <si>
    <t>Аҳоли сони</t>
  </si>
  <si>
    <t>Хонадонлар сони</t>
  </si>
  <si>
    <t>Маҳалла жами</t>
  </si>
  <si>
    <t>Туман жами</t>
  </si>
  <si>
    <t>А.Темур</t>
  </si>
  <si>
    <t>Зийнат</t>
  </si>
  <si>
    <t>Фидоий</t>
  </si>
  <si>
    <t>Ўрикзор</t>
  </si>
  <si>
    <t>Семуруғ</t>
  </si>
  <si>
    <t>Равот</t>
  </si>
  <si>
    <t xml:space="preserve">Гулистон МФЙ </t>
  </si>
  <si>
    <t>Э.Вохидов</t>
  </si>
  <si>
    <t>Само</t>
  </si>
  <si>
    <t>Ораста</t>
  </si>
  <si>
    <t>Хунарманд</t>
  </si>
  <si>
    <t>Зарбдор</t>
  </si>
  <si>
    <t>Широк</t>
  </si>
  <si>
    <t>Оролобод</t>
  </si>
  <si>
    <t>Чашма</t>
  </si>
  <si>
    <t>Ахси</t>
  </si>
  <si>
    <t xml:space="preserve">Ахси </t>
  </si>
  <si>
    <t>Журат</t>
  </si>
  <si>
    <t>Юксалиш</t>
  </si>
  <si>
    <t>Тош йўли</t>
  </si>
  <si>
    <t>Хило</t>
  </si>
  <si>
    <t>Манавият</t>
  </si>
  <si>
    <t>Уйчи</t>
  </si>
  <si>
    <t>Беруний МФЙ</t>
  </si>
  <si>
    <t>БЕРУНИЙ</t>
  </si>
  <si>
    <t>БЕРУНИЙ 1</t>
  </si>
  <si>
    <t>ҒОФУР ҒУЛОМ</t>
  </si>
  <si>
    <t xml:space="preserve">ДИЁНАТ </t>
  </si>
  <si>
    <t>ЗАРРИН</t>
  </si>
  <si>
    <t xml:space="preserve">ИСТИҚБОЛ </t>
  </si>
  <si>
    <t>НАВБАХОР</t>
  </si>
  <si>
    <t xml:space="preserve"> СПОРТЧИЛАР</t>
  </si>
  <si>
    <t>АМИР ТЕМУР</t>
  </si>
  <si>
    <t>ЗИЁКОР</t>
  </si>
  <si>
    <t>Боғ МФЙ</t>
  </si>
  <si>
    <t>Уфқ</t>
  </si>
  <si>
    <t>Карнайчи</t>
  </si>
  <si>
    <t>Амир Темур</t>
  </si>
  <si>
    <t xml:space="preserve">Ўзбекитсон </t>
  </si>
  <si>
    <t>Беруний</t>
  </si>
  <si>
    <t>Шаршара</t>
  </si>
  <si>
    <t>Савдогар</t>
  </si>
  <si>
    <t>Ғайрат</t>
  </si>
  <si>
    <t>Ахиллик</t>
  </si>
  <si>
    <t>Гулбахор</t>
  </si>
  <si>
    <t>Кайрағоч</t>
  </si>
  <si>
    <t>Кесканёр</t>
  </si>
  <si>
    <t>М.Улугбек</t>
  </si>
  <si>
    <t>Ойбулок</t>
  </si>
  <si>
    <t>Серкуёш</t>
  </si>
  <si>
    <t>Чинор</t>
  </si>
  <si>
    <t>Гумбаз</t>
  </si>
  <si>
    <t>Булоқбоши</t>
  </si>
  <si>
    <t>Хидоят</t>
  </si>
  <si>
    <t>Сарой</t>
  </si>
  <si>
    <t>Ифор</t>
  </si>
  <si>
    <t>Жомий</t>
  </si>
  <si>
    <t>Ўйингох</t>
  </si>
  <si>
    <t>Равон</t>
  </si>
  <si>
    <t>Чек</t>
  </si>
  <si>
    <t>Дахякота</t>
  </si>
  <si>
    <t>Шарк</t>
  </si>
  <si>
    <t>Уйғун</t>
  </si>
  <si>
    <t>Яшинобод</t>
  </si>
  <si>
    <t>Чаманзор</t>
  </si>
  <si>
    <t>Қўрғонча</t>
  </si>
  <si>
    <t>Дехқон МФЙ</t>
  </si>
  <si>
    <t>Мажнунтол</t>
  </si>
  <si>
    <t>Шалола</t>
  </si>
  <si>
    <t>Бозорбоши</t>
  </si>
  <si>
    <t>Дехқон</t>
  </si>
  <si>
    <t>Новвой</t>
  </si>
  <si>
    <t>Адолат</t>
  </si>
  <si>
    <t>Пахтакло</t>
  </si>
  <si>
    <t>Боғзор</t>
  </si>
  <si>
    <t>Ғалаба</t>
  </si>
  <si>
    <t>А.Темур  асосий  куча</t>
  </si>
  <si>
    <t>Олтин водий</t>
  </si>
  <si>
    <t>Деҳқонобод</t>
  </si>
  <si>
    <t>Зафар</t>
  </si>
  <si>
    <t>Камалак</t>
  </si>
  <si>
    <t>Истиқлол</t>
  </si>
  <si>
    <t>Оқ олтин</t>
  </si>
  <si>
    <t>Фазо</t>
  </si>
  <si>
    <t>Минор</t>
  </si>
  <si>
    <t xml:space="preserve">Деҳқонобод 
МФЙ </t>
  </si>
  <si>
    <t xml:space="preserve">Дустлик мфй </t>
  </si>
  <si>
    <t>А.Темур куча</t>
  </si>
  <si>
    <t>Жасорот куча</t>
  </si>
  <si>
    <t xml:space="preserve">Хилол куча </t>
  </si>
  <si>
    <t>Богча куча</t>
  </si>
  <si>
    <t>Порлок келажак куча</t>
  </si>
  <si>
    <t xml:space="preserve">Маърифат куча </t>
  </si>
  <si>
    <t>Зарбоб куча</t>
  </si>
  <si>
    <t>Бободехкон куча</t>
  </si>
  <si>
    <t>Бахтли авлод куча</t>
  </si>
  <si>
    <t>ШФК куча</t>
  </si>
  <si>
    <t>Исломобод</t>
  </si>
  <si>
    <t>Ором</t>
  </si>
  <si>
    <t>Янгиобод</t>
  </si>
  <si>
    <t>Шинам</t>
  </si>
  <si>
    <t>Давр</t>
  </si>
  <si>
    <t>Иттифоқ МФЙ</t>
  </si>
  <si>
    <t>Беш том</t>
  </si>
  <si>
    <t>Бодомзор</t>
  </si>
  <si>
    <t>Ибрат</t>
  </si>
  <si>
    <t>Кадрият</t>
  </si>
  <si>
    <t>Машъал</t>
  </si>
  <si>
    <t xml:space="preserve">Олмазор </t>
  </si>
  <si>
    <t>Оромгох</t>
  </si>
  <si>
    <t>Хурватан</t>
  </si>
  <si>
    <t>А.Орипов</t>
  </si>
  <si>
    <t>Болалик</t>
  </si>
  <si>
    <t>Қахрамон</t>
  </si>
  <si>
    <t>Элатан</t>
  </si>
  <si>
    <t>Сохил бўйи</t>
  </si>
  <si>
    <t>Самара</t>
  </si>
  <si>
    <t>Зебунисо</t>
  </si>
  <si>
    <t>Оқ тепа</t>
  </si>
  <si>
    <t xml:space="preserve">Қашқар МФЙ </t>
  </si>
  <si>
    <t>Бoғ</t>
  </si>
  <si>
    <t>Серқуёш</t>
  </si>
  <si>
    <t xml:space="preserve">Қашқар </t>
  </si>
  <si>
    <t>Мазмунли</t>
  </si>
  <si>
    <t xml:space="preserve">Навбахор </t>
  </si>
  <si>
    <t>Наврўз</t>
  </si>
  <si>
    <t>Бобиршох</t>
  </si>
  <si>
    <t>А.Қаҳҳор</t>
  </si>
  <si>
    <t>Қувурбоши МФЙ</t>
  </si>
  <si>
    <t>Мусаффо</t>
  </si>
  <si>
    <t>Қувурбоши</t>
  </si>
  <si>
    <t>Бархаёт</t>
  </si>
  <si>
    <t>Мехр</t>
  </si>
  <si>
    <t>Жаннатмакон</t>
  </si>
  <si>
    <t>Қумтепа</t>
  </si>
  <si>
    <t>Гўзал кўчаси</t>
  </si>
  <si>
    <t>Мерос кўчаси</t>
  </si>
  <si>
    <t>Андижон кўчаси</t>
  </si>
  <si>
    <t>Ипак йўли кўчаси</t>
  </si>
  <si>
    <t>Тўқизинчи май кўчаси</t>
  </si>
  <si>
    <t>Ғайрат кўчаси</t>
  </si>
  <si>
    <t>Наманган кўчаси</t>
  </si>
  <si>
    <t>К.Хусанов кўчаси</t>
  </si>
  <si>
    <t>Х.Қирғизов кўчаси</t>
  </si>
  <si>
    <t>Уста кўчаси</t>
  </si>
  <si>
    <t>Ал.Хоразмий кўчаси</t>
  </si>
  <si>
    <t>Машад</t>
  </si>
  <si>
    <t>1Янгобод</t>
  </si>
  <si>
    <t>2нуробод-1</t>
  </si>
  <si>
    <t>3Нуробод-2</t>
  </si>
  <si>
    <t>4машад</t>
  </si>
  <si>
    <t>5Тегирмонши</t>
  </si>
  <si>
    <t>6Кадрдонлар</t>
  </si>
  <si>
    <t>Гулшан</t>
  </si>
  <si>
    <t>Муборак МФЙ</t>
  </si>
  <si>
    <t>Муборак</t>
  </si>
  <si>
    <t>Музафария</t>
  </si>
  <si>
    <t>Мехир муруват</t>
  </si>
  <si>
    <t>Нурлидиёр</t>
  </si>
  <si>
    <t>Отчопар</t>
  </si>
  <si>
    <t>Серфайз</t>
  </si>
  <si>
    <t>Жийдакапа</t>
  </si>
  <si>
    <t>Боғ</t>
  </si>
  <si>
    <t>Жўшқин</t>
  </si>
  <si>
    <t>Саноат</t>
  </si>
  <si>
    <t>Софлик</t>
  </si>
  <si>
    <t>Сарбон</t>
  </si>
  <si>
    <t>Бозор</t>
  </si>
  <si>
    <t>Дўстлик</t>
  </si>
  <si>
    <t>Мехр нури</t>
  </si>
  <si>
    <t xml:space="preserve">Обод МФЙ </t>
  </si>
  <si>
    <t>А.Темур-3 утиш  кучаси</t>
  </si>
  <si>
    <t>А.Темур-4 утиш  кучаси</t>
  </si>
  <si>
    <t>А.Темур-5 утиш  кучаси</t>
  </si>
  <si>
    <t>Мусаффо  куча</t>
  </si>
  <si>
    <t>Саодатманд  куча</t>
  </si>
  <si>
    <t>С.Ахмад  куча</t>
  </si>
  <si>
    <t>Элпарвар  куча</t>
  </si>
  <si>
    <t>Теракзор  куча</t>
  </si>
  <si>
    <t>Хамдўстлик-1,2,3,4  куча</t>
  </si>
  <si>
    <t>Эркинлик  куча</t>
  </si>
  <si>
    <t>Элпарвар-1  куча</t>
  </si>
  <si>
    <t>Элпарвар-2  куча</t>
  </si>
  <si>
    <t>Элпарвар-3  куча</t>
  </si>
  <si>
    <t>Элпарвар-4  куча</t>
  </si>
  <si>
    <t>А.Навоий  куча</t>
  </si>
  <si>
    <t>Овчибулоқ</t>
  </si>
  <si>
    <t>Асрдош</t>
  </si>
  <si>
    <t>Дилроз</t>
  </si>
  <si>
    <t>Замон</t>
  </si>
  <si>
    <t>Обод замин</t>
  </si>
  <si>
    <t>Ўнҳаёт</t>
  </si>
  <si>
    <t>Эзгу ният</t>
  </si>
  <si>
    <t xml:space="preserve"> </t>
  </si>
  <si>
    <t>Табассум кўчаси</t>
  </si>
  <si>
    <t>Учкун кўчаси</t>
  </si>
  <si>
    <t>ифтихор кўчаси</t>
  </si>
  <si>
    <t>Орият кўчаси</t>
  </si>
  <si>
    <t>Тараккиёт кўчаси</t>
  </si>
  <si>
    <t>Барокат кўчаси</t>
  </si>
  <si>
    <t xml:space="preserve">Октош  </t>
  </si>
  <si>
    <t>Олмурут</t>
  </si>
  <si>
    <t>Хон</t>
  </si>
  <si>
    <t>Бобур</t>
  </si>
  <si>
    <t>Шодлик</t>
  </si>
  <si>
    <t>Наьмуна</t>
  </si>
  <si>
    <t>Ясситепа</t>
  </si>
  <si>
    <t>Охунбобоев</t>
  </si>
  <si>
    <t>Навоий</t>
  </si>
  <si>
    <t>Янги боғ</t>
  </si>
  <si>
    <t>Барака</t>
  </si>
  <si>
    <t>Мевазор</t>
  </si>
  <si>
    <t>Тегирмон</t>
  </si>
  <si>
    <t>Мухаммадюсуф</t>
  </si>
  <si>
    <t>Хўжатўпи</t>
  </si>
  <si>
    <t>Маьрифат</t>
  </si>
  <si>
    <t>Тошлоқ МФЙ</t>
  </si>
  <si>
    <t>Хумо</t>
  </si>
  <si>
    <t>Мустақил диёр</t>
  </si>
  <si>
    <t>Мехнатобод</t>
  </si>
  <si>
    <t>Тўқай</t>
  </si>
  <si>
    <t>Субхидам</t>
  </si>
  <si>
    <t>Ўнхаят</t>
  </si>
  <si>
    <t>Камолот</t>
  </si>
  <si>
    <t>Чукурхаят</t>
  </si>
  <si>
    <t>Куйи бог</t>
  </si>
  <si>
    <t>Сирли куча</t>
  </si>
  <si>
    <t>Булокбоши</t>
  </si>
  <si>
    <t>Хизиробод</t>
  </si>
  <si>
    <t>Чорвадор</t>
  </si>
  <si>
    <t>Янгичек</t>
  </si>
  <si>
    <t>Дустлик</t>
  </si>
  <si>
    <t>Иттифок</t>
  </si>
  <si>
    <t>Мустакиллик 23 йиллиги</t>
  </si>
  <si>
    <t>Асалчи</t>
  </si>
  <si>
    <t>Навруз</t>
  </si>
  <si>
    <t>Бахор</t>
  </si>
  <si>
    <t>Тутзор</t>
  </si>
  <si>
    <t>Чуртук</t>
  </si>
  <si>
    <t>Янги аср кўчаси</t>
  </si>
  <si>
    <t>Намуна  кўчаси</t>
  </si>
  <si>
    <t>Жамбил кўчаси</t>
  </si>
  <si>
    <t>Наврўз  кўчаси</t>
  </si>
  <si>
    <t>Чуртук кўчаси</t>
  </si>
  <si>
    <t>Чилангар кўчаси</t>
  </si>
  <si>
    <t>Ўрикзор кўчаси</t>
  </si>
  <si>
    <t>ЭЗГУЛИК</t>
  </si>
  <si>
    <t>А.ТЕМУР КУЧАСИ</t>
  </si>
  <si>
    <t>ШАЛДИРАМА</t>
  </si>
  <si>
    <t>У.УРАЛОВ</t>
  </si>
  <si>
    <t>СОКИНЛИК</t>
  </si>
  <si>
    <t>Янги хаёт</t>
  </si>
  <si>
    <t>Бахт</t>
  </si>
  <si>
    <t>А.Жураев</t>
  </si>
  <si>
    <t>Тумарис</t>
  </si>
  <si>
    <t>Зиёкор</t>
  </si>
  <si>
    <t>Адиблар</t>
  </si>
  <si>
    <t>Янгичек МФЙ</t>
  </si>
  <si>
    <t>Узумзор</t>
  </si>
  <si>
    <t>Химоячи</t>
  </si>
  <si>
    <t>Миртемир</t>
  </si>
  <si>
    <t>Ғунча</t>
  </si>
  <si>
    <t>Нурли Тонг</t>
  </si>
  <si>
    <t>Ишонч</t>
  </si>
  <si>
    <t>Тегирмонбоши</t>
  </si>
  <si>
    <t>Файзиобод</t>
  </si>
  <si>
    <t>Сохил</t>
  </si>
  <si>
    <t>Ойдин</t>
  </si>
  <si>
    <t>Пахтакор</t>
  </si>
  <si>
    <t>Укитувчи</t>
  </si>
  <si>
    <t>Бог</t>
  </si>
  <si>
    <t>Хужаобод</t>
  </si>
  <si>
    <t>Пиллакор</t>
  </si>
  <si>
    <t>Шафтоли</t>
  </si>
  <si>
    <t>Кўл бўйи</t>
  </si>
  <si>
    <t>Табассум</t>
  </si>
  <si>
    <t>Тараннум</t>
  </si>
  <si>
    <t xml:space="preserve">Боягон </t>
  </si>
  <si>
    <t xml:space="preserve">Амир темур </t>
  </si>
  <si>
    <t>Хонабод</t>
  </si>
  <si>
    <t>Кохинур</t>
  </si>
  <si>
    <t>Гулирайхон</t>
  </si>
  <si>
    <t>Мустакиллик 20 йиллиги</t>
  </si>
  <si>
    <t>Ёр</t>
  </si>
  <si>
    <t>Баландарик</t>
  </si>
  <si>
    <t>Баландариқ</t>
  </si>
  <si>
    <t>Дарё</t>
  </si>
  <si>
    <t>Зарафшон</t>
  </si>
  <si>
    <t>Зафаробод</t>
  </si>
  <si>
    <t>Қизилой</t>
  </si>
  <si>
    <t>Наманган</t>
  </si>
  <si>
    <t>Равнақ</t>
  </si>
  <si>
    <t>Тадбиркор</t>
  </si>
  <si>
    <t>Хамкор</t>
  </si>
  <si>
    <t>Хожиобод МФЙ</t>
  </si>
  <si>
    <t>Бог куча</t>
  </si>
  <si>
    <t>Мактаб</t>
  </si>
  <si>
    <t>Кизил ровот</t>
  </si>
  <si>
    <t>Чилангар</t>
  </si>
  <si>
    <t>Шифокор 1</t>
  </si>
  <si>
    <t>Шифокор 2</t>
  </si>
  <si>
    <t>Олвализор</t>
  </si>
  <si>
    <t>Янги арик</t>
  </si>
  <si>
    <t>Шафтолизор</t>
  </si>
  <si>
    <t>Боғи эрам</t>
  </si>
  <si>
    <t>Жахонбахш</t>
  </si>
  <si>
    <t>Фурқат</t>
  </si>
  <si>
    <t>Маданият</t>
  </si>
  <si>
    <t>А.Авлоний</t>
  </si>
  <si>
    <t>Ал Фаргоний</t>
  </si>
  <si>
    <t>Гулбоғ МФЙ</t>
  </si>
  <si>
    <t xml:space="preserve">А.Темур </t>
  </si>
  <si>
    <t xml:space="preserve">Намуна </t>
  </si>
  <si>
    <t>Фидокор</t>
  </si>
  <si>
    <t xml:space="preserve">А.Чўлпон </t>
  </si>
  <si>
    <t xml:space="preserve">Бинокор </t>
  </si>
  <si>
    <t xml:space="preserve">Гулобод </t>
  </si>
  <si>
    <t xml:space="preserve">Себзор </t>
  </si>
  <si>
    <t xml:space="preserve">Дўстлик </t>
  </si>
  <si>
    <t xml:space="preserve">Гулистон </t>
  </si>
  <si>
    <t>Гулбоғ-1</t>
  </si>
  <si>
    <t>Гулбоғ-2</t>
  </si>
  <si>
    <t>Гулбоғ-3</t>
  </si>
  <si>
    <t>Гулбоғ-4</t>
  </si>
  <si>
    <t xml:space="preserve">Биродарлик </t>
  </si>
  <si>
    <t xml:space="preserve">Х.Инсон </t>
  </si>
  <si>
    <t>Сойариқ</t>
  </si>
  <si>
    <t>Бўстон</t>
  </si>
  <si>
    <t>Шофтоли” кўчаси</t>
  </si>
  <si>
    <t>Дарёбўйи” кўчаси</t>
  </si>
  <si>
    <t>Хуррият” кўчаси</t>
  </si>
  <si>
    <t>“Янгихаёт” кўчаси</t>
  </si>
  <si>
    <t>Олтиоғани” кўчаси</t>
  </si>
  <si>
    <t>Ором” кўчаси</t>
  </si>
  <si>
    <t>Хилватий” кўчаси</t>
  </si>
  <si>
    <t>Тошлоқ” кўчаси</t>
  </si>
  <si>
    <t>Бирлик” кўчаси</t>
  </si>
  <si>
    <t>Камалак” кўчаси</t>
  </si>
  <si>
    <t xml:space="preserve">     ХИКМАТ</t>
  </si>
  <si>
    <t xml:space="preserve">     НУРОНИЙ</t>
  </si>
  <si>
    <t xml:space="preserve">     СЕРХОСИЛ</t>
  </si>
  <si>
    <t>БАРКАМОЛ АВЛОД</t>
  </si>
  <si>
    <t xml:space="preserve">    ОРЗУМАНД</t>
  </si>
  <si>
    <t xml:space="preserve">    ТАРОНА</t>
  </si>
  <si>
    <t xml:space="preserve">    НУРАФШОН</t>
  </si>
  <si>
    <t>,</t>
  </si>
  <si>
    <t xml:space="preserve">     А. ФИТРАТ</t>
  </si>
  <si>
    <t xml:space="preserve">  ШУРКИШЛОК</t>
  </si>
  <si>
    <t xml:space="preserve">Кесканер 
М Ф Й </t>
  </si>
  <si>
    <t>А.Темур кўчаси</t>
  </si>
  <si>
    <t>Норин кўчаси</t>
  </si>
  <si>
    <t>Зилол сув кўчаси</t>
  </si>
  <si>
    <t>Чилонзор кўчаси</t>
  </si>
  <si>
    <t>Янгиер кўчаси</t>
  </si>
  <si>
    <t>Янгиер МФЙ</t>
  </si>
  <si>
    <t>А.Темур кўча</t>
  </si>
  <si>
    <t>М.Бобажанов  кўча</t>
  </si>
  <si>
    <t>Шафақ кўча</t>
  </si>
  <si>
    <t>Истиқлол кўча</t>
  </si>
  <si>
    <t>Зиёли  кўча</t>
  </si>
  <si>
    <t>Ёркатай МФЙ</t>
  </si>
  <si>
    <t>Мирзаровот</t>
  </si>
  <si>
    <t>Бирдамлик</t>
  </si>
  <si>
    <t>Пахтачи</t>
  </si>
  <si>
    <t>Мирзаровот МФЙ</t>
  </si>
  <si>
    <t>Истиклол</t>
  </si>
  <si>
    <t>Сокин</t>
  </si>
  <si>
    <t>Унхаят</t>
  </si>
  <si>
    <t>Зулфия</t>
  </si>
  <si>
    <t>Янги йул</t>
  </si>
  <si>
    <t>Наманган проезд 1</t>
  </si>
  <si>
    <t>Бой куча</t>
  </si>
  <si>
    <t>Шодиена</t>
  </si>
  <si>
    <t>Куркам</t>
  </si>
  <si>
    <r>
      <rPr>
        <b/>
        <sz val="11"/>
        <color rgb="FFC00000"/>
        <rFont val="Times New Roman"/>
        <family val="1"/>
        <charset val="204"/>
      </rPr>
      <t>Уйчи туманидаги</t>
    </r>
    <r>
      <rPr>
        <b/>
        <sz val="11"/>
        <color theme="1"/>
        <rFont val="Times New Roman"/>
        <family val="1"/>
        <charset val="204"/>
      </rPr>
      <t xml:space="preserve"> маҳаллалардаги аҳоли ва хонадонлар сони тўғрисида тезкор
МАЪЛУМОТ</t>
    </r>
  </si>
  <si>
    <t>А.Темур </t>
  </si>
  <si>
    <t>Бинокор</t>
  </si>
  <si>
    <t>Ғаллакор</t>
  </si>
  <si>
    <t>Ёшлик</t>
  </si>
  <si>
    <t>Етакчи</t>
  </si>
  <si>
    <t>Илхомбахш</t>
  </si>
  <si>
    <t>Шабнам</t>
  </si>
  <si>
    <t>Райхон</t>
  </si>
  <si>
    <t>Чароғон</t>
  </si>
  <si>
    <t>Соку МФЙ</t>
  </si>
  <si>
    <t>Иттифоқ кўчаси</t>
  </si>
  <si>
    <t>Навбахор кўчаси</t>
  </si>
  <si>
    <t>Равнақ кўчаси</t>
  </si>
  <si>
    <t>Озод кўчаси</t>
  </si>
  <si>
    <t>Хуррият МФЙ</t>
  </si>
  <si>
    <t>С, Мамадалиева</t>
  </si>
  <si>
    <t>Қадрят кўча</t>
  </si>
  <si>
    <t>Т.Малиик</t>
  </si>
  <si>
    <t>Шараф</t>
  </si>
  <si>
    <t>Наъмуна</t>
  </si>
  <si>
    <t>А.Мурадов</t>
  </si>
  <si>
    <t>Нурли  кўчаси</t>
  </si>
  <si>
    <t>Садаф кўчаси</t>
  </si>
  <si>
    <t>А.Темур  кўчаси</t>
  </si>
  <si>
    <t>Янги тонг кўчаси</t>
  </si>
  <si>
    <t>Сой  буйи кўчаси</t>
  </si>
  <si>
    <t>Янги  йўл кўчаси</t>
  </si>
  <si>
    <t>Хўжаобод МФЙ</t>
  </si>
  <si>
    <t>Тепасарой МФЙ</t>
  </si>
  <si>
    <t>Чорвадор  кўчаси</t>
  </si>
  <si>
    <t>Шабнам кўчаси</t>
  </si>
  <si>
    <t>Сой  ариқ   кўчаси</t>
  </si>
  <si>
    <t>Диёнат кўчаси</t>
  </si>
  <si>
    <t>Шукрона кўчаси</t>
  </si>
  <si>
    <t>Туркистон  кўчаси</t>
  </si>
  <si>
    <t>Саришта  кўчаси</t>
  </si>
  <si>
    <t>Янги  йўл  кўчаси</t>
  </si>
  <si>
    <t>Сабо  кўчаси</t>
  </si>
  <si>
    <t>Нихол кўчаси</t>
  </si>
  <si>
    <t>Дилхуш  кўчаси</t>
  </si>
  <si>
    <t>Ватанпарвар  кўчаси</t>
  </si>
  <si>
    <t>Обод кўчаси</t>
  </si>
  <si>
    <t>Озоддиёр кўчаси</t>
  </si>
  <si>
    <t>Фидокор кўчаси</t>
  </si>
  <si>
    <t>Қалқон кўчаси</t>
  </si>
  <si>
    <t>Зилол кўчаси</t>
  </si>
  <si>
    <t>Файз  кўчаси</t>
  </si>
  <si>
    <t>Ёшлар  кўчаси</t>
  </si>
  <si>
    <t>Пастгузар МФЙ</t>
  </si>
  <si>
    <t>Амир Темур кўчаси</t>
  </si>
  <si>
    <t>“Гулзор-1” кўчаси</t>
  </si>
  <si>
    <t>“Гулзор-2” кўчаси</t>
  </si>
  <si>
    <t>“Шухрат” кўчаси</t>
  </si>
  <si>
    <t>“Наврўз” кўчаси</t>
  </si>
  <si>
    <t>“Ирода” кўчаси</t>
  </si>
  <si>
    <t>“Олвализор” кўчаси</t>
  </si>
  <si>
    <t>“Лолазор” кўчаси</t>
  </si>
  <si>
    <t>“Зафар диёр” кўчаси</t>
  </si>
  <si>
    <t>“Янгиобод-1” кўчаси</t>
  </si>
  <si>
    <t>“Янгиобод-2” кўчаси</t>
  </si>
  <si>
    <t>“Фароғатли” кўчаси</t>
  </si>
  <si>
    <t>“Саховат” кўчаси</t>
  </si>
  <si>
    <t>“Миллий” кўчаси</t>
  </si>
  <si>
    <t>“Зулфияхоним” кўчаси</t>
  </si>
  <si>
    <t>“Оханграбо” кўчаси</t>
  </si>
  <si>
    <t>“Донишмандлар” кўчаси</t>
  </si>
  <si>
    <t>“Бўстон” кўчаси</t>
  </si>
  <si>
    <t>“Ривож” кўчаси</t>
  </si>
  <si>
    <t>“Мустақиллик” кўчаси</t>
  </si>
  <si>
    <t>Гулзор МФЙ</t>
  </si>
  <si>
    <t>Бог кўча</t>
  </si>
  <si>
    <t>Мунис</t>
  </si>
  <si>
    <t>Турон</t>
  </si>
  <si>
    <t>Матонат</t>
  </si>
  <si>
    <t xml:space="preserve">Миришкор </t>
  </si>
  <si>
    <t>Нурли келажак</t>
  </si>
  <si>
    <t>Улугбек кўчаси</t>
  </si>
  <si>
    <t>Ибн Сино кўчаси</t>
  </si>
  <si>
    <t>Гулирайхон кўчаси</t>
  </si>
  <si>
    <t>Риск кўчаси</t>
  </si>
  <si>
    <t>Нодира кўчаси</t>
  </si>
  <si>
    <t>Шифо кўчаси</t>
  </si>
  <si>
    <t>Фаровон кўчаси</t>
  </si>
  <si>
    <t>Сохилбуйи кўчаси</t>
  </si>
  <si>
    <t>Мангуберди кўчаси</t>
  </si>
  <si>
    <t>Байрам кўчаси</t>
  </si>
  <si>
    <t>Бахт кўчаси</t>
  </si>
  <si>
    <t>Тукимачи кўчаси</t>
  </si>
  <si>
    <t>Г.Гулом кўчаси</t>
  </si>
  <si>
    <t>Мустакиллик кўчаси</t>
  </si>
  <si>
    <t>Шифокор МФЙ</t>
  </si>
  <si>
    <t>Қўрғонча МФЙ</t>
  </si>
  <si>
    <t>Жайхун кўча</t>
  </si>
  <si>
    <t>Орзу кўча</t>
  </si>
  <si>
    <t>Пиллакор кўча</t>
  </si>
  <si>
    <t>Бахор кўча</t>
  </si>
  <si>
    <t>Янгибахор</t>
  </si>
  <si>
    <t>Замин кўча</t>
  </si>
  <si>
    <t>Ёшлик кўча</t>
  </si>
  <si>
    <t>Гулшан кўча</t>
  </si>
  <si>
    <t>Ёғду кўча</t>
  </si>
  <si>
    <t>Обихаёт кўча</t>
  </si>
  <si>
    <t>Бунёдкор кўча</t>
  </si>
  <si>
    <t>Келажак кўча</t>
  </si>
  <si>
    <t>А.Қаххор кўча</t>
  </si>
  <si>
    <t>Беруний кўча</t>
  </si>
  <si>
    <t>Бобур кўча</t>
  </si>
  <si>
    <t>Муқимий кўча</t>
  </si>
  <si>
    <t>Порлоқ кўча</t>
  </si>
  <si>
    <t>Янгихаёт кўча</t>
  </si>
  <si>
    <t>Фарход кўча</t>
  </si>
  <si>
    <t>Сохибкор кўча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</si>
</sst>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##0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charset val="134"/>
      <scheme val="minor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name val="Calibri"/>
    </font>
    <font>
      <b/>
      <sz val="11"/>
      <color theme="1"/>
      <name val="Times New Roman"/>
      <family val="1"/>
      <charset val="204"/>
    </font>
    <font>
      <sz val="11"/>
      <name val="Cambria"/>
      <family val="1"/>
      <charset val="204"/>
    </font>
    <font>
      <sz val="14"/>
      <color theme="1"/>
      <name val="Times New Roman"/>
      <family val="1"/>
      <charset val="204"/>
    </font>
    <font>
      <b/>
      <sz val="14"/>
      <color rgb="FF002060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b/>
      <sz val="11"/>
      <color rgb="FFC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color rgb="FF0D0D0D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6" fillId="0" borderId="0">
      <alignment vertical="center"/>
    </xf>
  </cellStyleXfs>
  <cellXfs count="115">
    <xf numFmtId="0" fontId="0" fillId="0" borderId="0" xfId="0"/>
    <xf numFmtId="3" fontId="3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8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3" fillId="0" borderId="0" xfId="0" applyFont="1"/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3" fontId="13" fillId="0" borderId="1" xfId="2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164" fontId="3" fillId="0" borderId="1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7" fillId="4" borderId="1" xfId="1" applyNumberFormat="1" applyFont="1" applyFill="1" applyBorder="1" applyAlignment="1">
      <alignment horizontal="center" vertical="center"/>
    </xf>
    <xf numFmtId="3" fontId="14" fillId="5" borderId="1" xfId="2" applyNumberFormat="1" applyFont="1" applyFill="1" applyBorder="1" applyAlignment="1">
      <alignment horizontal="center" vertical="center"/>
    </xf>
    <xf numFmtId="3" fontId="7" fillId="4" borderId="1" xfId="1" applyNumberFormat="1" applyFont="1" applyFill="1" applyBorder="1" applyAlignment="1">
      <alignment horizontal="center" vertical="center"/>
    </xf>
    <xf numFmtId="3" fontId="14" fillId="5" borderId="1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3" fillId="0" borderId="1" xfId="1" applyFont="1" applyBorder="1" applyAlignment="1">
      <alignment horizontal="left" vertical="center" indent="1"/>
    </xf>
    <xf numFmtId="0" fontId="13" fillId="0" borderId="1" xfId="2" applyFont="1" applyBorder="1" applyAlignment="1">
      <alignment horizontal="left" vertical="center" indent="1"/>
    </xf>
    <xf numFmtId="0" fontId="7" fillId="2" borderId="1" xfId="0" applyFont="1" applyFill="1" applyBorder="1" applyAlignment="1">
      <alignment horizontal="left" indent="1"/>
    </xf>
    <xf numFmtId="0" fontId="5" fillId="6" borderId="1" xfId="0" applyFont="1" applyFill="1" applyBorder="1" applyAlignment="1">
      <alignment horizontal="left" vertical="center" wrapText="1" indent="1"/>
    </xf>
    <xf numFmtId="0" fontId="13" fillId="0" borderId="1" xfId="0" applyFont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indent="1"/>
    </xf>
    <xf numFmtId="0" fontId="5" fillId="7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indent="1"/>
    </xf>
    <xf numFmtId="0" fontId="3" fillId="0" borderId="0" xfId="0" applyFont="1" applyAlignment="1">
      <alignment horizontal="left" inden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4" borderId="2" xfId="1" applyFont="1" applyFill="1" applyBorder="1" applyAlignment="1">
      <alignment horizontal="center"/>
    </xf>
    <xf numFmtId="0" fontId="7" fillId="4" borderId="3" xfId="1" applyFont="1" applyFill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14" fillId="5" borderId="1" xfId="2" applyFont="1" applyFill="1" applyBorder="1" applyAlignment="1">
      <alignment horizontal="center"/>
    </xf>
    <xf numFmtId="0" fontId="13" fillId="0" borderId="5" xfId="2" applyFont="1" applyBorder="1" applyAlignment="1">
      <alignment horizontal="center" vertical="center"/>
    </xf>
    <xf numFmtId="0" fontId="13" fillId="0" borderId="6" xfId="2" applyFont="1" applyBorder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5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0"/>
  <sheetViews>
    <sheetView tabSelected="1" view="pageBreakPreview" zoomScale="115" zoomScaleNormal="100" zoomScaleSheetLayoutView="115" workbookViewId="0">
      <selection activeCell="E7" sqref="E7"/>
    </sheetView>
  </sheetViews>
  <sheetFormatPr defaultRowHeight="15"/>
  <cols>
    <col min="1" max="1" width="9.140625" style="12"/>
    <col min="2" max="2" width="17.85546875" style="12" customWidth="1"/>
    <col min="3" max="3" width="23.28515625" style="60" customWidth="1"/>
    <col min="4" max="4" width="14.5703125" style="37" customWidth="1"/>
    <col min="5" max="5" width="15.28515625" style="37" customWidth="1"/>
    <col min="6" max="16384" width="9.140625" style="12"/>
  </cols>
  <sheetData>
    <row r="1" spans="1:5" ht="33" customHeight="1">
      <c r="A1" s="102" t="s">
        <v>382</v>
      </c>
      <c r="B1" s="103"/>
      <c r="C1" s="103"/>
      <c r="D1" s="103"/>
      <c r="E1" s="103"/>
    </row>
    <row r="3" spans="1:5" ht="27.75" customHeight="1">
      <c r="A3" s="18" t="s">
        <v>0</v>
      </c>
      <c r="B3" s="18" t="s">
        <v>1</v>
      </c>
      <c r="C3" s="49" t="s">
        <v>2</v>
      </c>
      <c r="D3" s="19" t="s">
        <v>4</v>
      </c>
      <c r="E3" s="19" t="s">
        <v>5</v>
      </c>
    </row>
    <row r="4" spans="1:5" ht="21" customHeight="1">
      <c r="A4" s="104" t="s">
        <v>7</v>
      </c>
      <c r="B4" s="105"/>
      <c r="C4" s="106"/>
      <c r="D4" s="20">
        <f>+D11+D20+D28+D39+D47+D58+D69+D76+D86+D96+D107+D113+D124+D133+D144+D150+D162+D169+D176+D185+D202+D209+D216+D235+D241+D249+D261+D269+D274+D282+D292+D303+D309+D318+D328+D339+D350+D367+D378+D389+D395+D402+D408+D419+D434+D441+D448+D456+D476+D497+D504+D519+D540</f>
        <v>224380</v>
      </c>
      <c r="E4" s="20">
        <f>+E11+E20+E28+E39+E47+E58+E69+E76+E86+E96+E107+E113+E124+E133+E144+E150+E162+E169+E176+E185+E202+E209+E216+E235+E241+E249+E261+E269+E274+E282+E292+E303+E309+E318+E328+E339+E350+E367+E378+E389+E395+E402+E408+E419+E434+E441+E448+E456+E476+E497+E504+E519+E540</f>
        <v>48496</v>
      </c>
    </row>
    <row r="5" spans="1:5">
      <c r="A5" s="69">
        <v>1</v>
      </c>
      <c r="B5" s="61" t="s">
        <v>3</v>
      </c>
      <c r="C5" s="27" t="s">
        <v>8</v>
      </c>
      <c r="D5" s="9">
        <v>260</v>
      </c>
      <c r="E5" s="1">
        <v>25</v>
      </c>
    </row>
    <row r="6" spans="1:5">
      <c r="A6" s="69"/>
      <c r="B6" s="62"/>
      <c r="C6" s="27" t="s">
        <v>9</v>
      </c>
      <c r="D6" s="9">
        <v>655</v>
      </c>
      <c r="E6" s="1">
        <v>112</v>
      </c>
    </row>
    <row r="7" spans="1:5">
      <c r="A7" s="69"/>
      <c r="B7" s="62"/>
      <c r="C7" s="27" t="s">
        <v>10</v>
      </c>
      <c r="D7" s="9">
        <v>435</v>
      </c>
      <c r="E7" s="1">
        <v>93</v>
      </c>
    </row>
    <row r="8" spans="1:5">
      <c r="A8" s="69"/>
      <c r="B8" s="62"/>
      <c r="C8" s="27" t="s">
        <v>11</v>
      </c>
      <c r="D8" s="9">
        <v>570</v>
      </c>
      <c r="E8" s="1">
        <v>149</v>
      </c>
    </row>
    <row r="9" spans="1:5">
      <c r="A9" s="69"/>
      <c r="B9" s="62"/>
      <c r="C9" s="27" t="s">
        <v>12</v>
      </c>
      <c r="D9" s="9">
        <v>465</v>
      </c>
      <c r="E9" s="1">
        <v>80</v>
      </c>
    </row>
    <row r="10" spans="1:5">
      <c r="A10" s="69"/>
      <c r="B10" s="62"/>
      <c r="C10" s="27" t="s">
        <v>13</v>
      </c>
      <c r="D10" s="9">
        <v>365</v>
      </c>
      <c r="E10" s="1">
        <v>56</v>
      </c>
    </row>
    <row r="11" spans="1:5">
      <c r="A11" s="69"/>
      <c r="B11" s="68" t="s">
        <v>6</v>
      </c>
      <c r="C11" s="68"/>
      <c r="D11" s="3">
        <f>SUM(D5:D10)</f>
        <v>2750</v>
      </c>
      <c r="E11" s="3">
        <f>SUM(E5:E10)</f>
        <v>515</v>
      </c>
    </row>
    <row r="12" spans="1:5">
      <c r="A12" s="69">
        <v>2</v>
      </c>
      <c r="B12" s="61" t="s">
        <v>14</v>
      </c>
      <c r="C12" s="27" t="s">
        <v>15</v>
      </c>
      <c r="D12" s="9">
        <v>289</v>
      </c>
      <c r="E12" s="9">
        <v>71</v>
      </c>
    </row>
    <row r="13" spans="1:5">
      <c r="A13" s="69"/>
      <c r="B13" s="62"/>
      <c r="C13" s="27" t="s">
        <v>16</v>
      </c>
      <c r="D13" s="9">
        <v>214</v>
      </c>
      <c r="E13" s="9">
        <v>47</v>
      </c>
    </row>
    <row r="14" spans="1:5">
      <c r="A14" s="69"/>
      <c r="B14" s="62"/>
      <c r="C14" s="27" t="s">
        <v>17</v>
      </c>
      <c r="D14" s="9">
        <v>192</v>
      </c>
      <c r="E14" s="9">
        <v>29</v>
      </c>
    </row>
    <row r="15" spans="1:5">
      <c r="A15" s="69"/>
      <c r="B15" s="62"/>
      <c r="C15" s="27" t="s">
        <v>18</v>
      </c>
      <c r="D15" s="9">
        <v>285</v>
      </c>
      <c r="E15" s="9">
        <v>44</v>
      </c>
    </row>
    <row r="16" spans="1:5">
      <c r="A16" s="69"/>
      <c r="B16" s="62"/>
      <c r="C16" s="27" t="s">
        <v>19</v>
      </c>
      <c r="D16" s="9">
        <v>555</v>
      </c>
      <c r="E16" s="9">
        <v>158</v>
      </c>
    </row>
    <row r="17" spans="1:5">
      <c r="A17" s="69"/>
      <c r="B17" s="62"/>
      <c r="C17" s="27" t="s">
        <v>20</v>
      </c>
      <c r="D17" s="9">
        <v>495</v>
      </c>
      <c r="E17" s="9">
        <v>91</v>
      </c>
    </row>
    <row r="18" spans="1:5">
      <c r="A18" s="69"/>
      <c r="B18" s="62"/>
      <c r="C18" s="27" t="s">
        <v>21</v>
      </c>
      <c r="D18" s="9">
        <v>665</v>
      </c>
      <c r="E18" s="9">
        <v>128</v>
      </c>
    </row>
    <row r="19" spans="1:5">
      <c r="A19" s="69"/>
      <c r="B19" s="62"/>
      <c r="C19" s="27" t="s">
        <v>22</v>
      </c>
      <c r="D19" s="9">
        <v>901</v>
      </c>
      <c r="E19" s="9">
        <v>172</v>
      </c>
    </row>
    <row r="20" spans="1:5">
      <c r="A20" s="69"/>
      <c r="B20" s="68" t="s">
        <v>6</v>
      </c>
      <c r="C20" s="68"/>
      <c r="D20" s="2">
        <f>SUM(D12:D19)</f>
        <v>3596</v>
      </c>
      <c r="E20" s="2">
        <f>SUM(E12:E19)</f>
        <v>740</v>
      </c>
    </row>
    <row r="21" spans="1:5">
      <c r="A21" s="69">
        <v>3</v>
      </c>
      <c r="B21" s="61" t="s">
        <v>23</v>
      </c>
      <c r="C21" s="27" t="s">
        <v>24</v>
      </c>
      <c r="D21" s="9">
        <v>274</v>
      </c>
      <c r="E21" s="1">
        <v>42</v>
      </c>
    </row>
    <row r="22" spans="1:5">
      <c r="A22" s="69"/>
      <c r="B22" s="62"/>
      <c r="C22" s="27" t="s">
        <v>25</v>
      </c>
      <c r="D22" s="9">
        <v>423</v>
      </c>
      <c r="E22" s="1">
        <v>80</v>
      </c>
    </row>
    <row r="23" spans="1:5">
      <c r="A23" s="69"/>
      <c r="B23" s="62"/>
      <c r="C23" s="27" t="s">
        <v>26</v>
      </c>
      <c r="D23" s="9">
        <v>500</v>
      </c>
      <c r="E23" s="1">
        <v>94</v>
      </c>
    </row>
    <row r="24" spans="1:5">
      <c r="A24" s="69"/>
      <c r="B24" s="62"/>
      <c r="C24" s="27" t="s">
        <v>27</v>
      </c>
      <c r="D24" s="9">
        <v>639</v>
      </c>
      <c r="E24" s="1">
        <v>137</v>
      </c>
    </row>
    <row r="25" spans="1:5">
      <c r="A25" s="69"/>
      <c r="B25" s="62"/>
      <c r="C25" s="27" t="s">
        <v>28</v>
      </c>
      <c r="D25" s="9">
        <v>471</v>
      </c>
      <c r="E25" s="1">
        <v>83</v>
      </c>
    </row>
    <row r="26" spans="1:5">
      <c r="A26" s="69"/>
      <c r="B26" s="62"/>
      <c r="C26" s="27" t="s">
        <v>29</v>
      </c>
      <c r="D26" s="9">
        <v>485</v>
      </c>
      <c r="E26" s="1">
        <v>87</v>
      </c>
    </row>
    <row r="27" spans="1:5">
      <c r="A27" s="69"/>
      <c r="B27" s="62"/>
      <c r="C27" s="27" t="s">
        <v>30</v>
      </c>
      <c r="D27" s="9">
        <v>503</v>
      </c>
      <c r="E27" s="1">
        <v>95</v>
      </c>
    </row>
    <row r="28" spans="1:5">
      <c r="A28" s="69"/>
      <c r="B28" s="68" t="s">
        <v>6</v>
      </c>
      <c r="C28" s="68"/>
      <c r="D28" s="2">
        <f>SUM(D21:D27)</f>
        <v>3295</v>
      </c>
      <c r="E28" s="2">
        <f>SUM(E21:E27)</f>
        <v>618</v>
      </c>
    </row>
    <row r="29" spans="1:5">
      <c r="A29" s="94">
        <v>4</v>
      </c>
      <c r="B29" s="95" t="s">
        <v>31</v>
      </c>
      <c r="C29" s="50" t="s">
        <v>32</v>
      </c>
      <c r="D29" s="21">
        <v>3057</v>
      </c>
      <c r="E29" s="22">
        <v>785</v>
      </c>
    </row>
    <row r="30" spans="1:5">
      <c r="A30" s="94"/>
      <c r="B30" s="96"/>
      <c r="C30" s="50" t="s">
        <v>33</v>
      </c>
      <c r="D30" s="21">
        <v>198</v>
      </c>
      <c r="E30" s="22">
        <v>55</v>
      </c>
    </row>
    <row r="31" spans="1:5">
      <c r="A31" s="94"/>
      <c r="B31" s="96"/>
      <c r="C31" s="50" t="s">
        <v>34</v>
      </c>
      <c r="D31" s="21">
        <v>93</v>
      </c>
      <c r="E31" s="22">
        <v>22</v>
      </c>
    </row>
    <row r="32" spans="1:5">
      <c r="A32" s="94"/>
      <c r="B32" s="96"/>
      <c r="C32" s="50" t="s">
        <v>35</v>
      </c>
      <c r="D32" s="21">
        <v>312</v>
      </c>
      <c r="E32" s="22">
        <v>70</v>
      </c>
    </row>
    <row r="33" spans="1:5">
      <c r="A33" s="94"/>
      <c r="B33" s="96"/>
      <c r="C33" s="50" t="s">
        <v>36</v>
      </c>
      <c r="D33" s="21">
        <v>182</v>
      </c>
      <c r="E33" s="22">
        <v>52</v>
      </c>
    </row>
    <row r="34" spans="1:5">
      <c r="A34" s="94"/>
      <c r="B34" s="96"/>
      <c r="C34" s="50" t="s">
        <v>37</v>
      </c>
      <c r="D34" s="21">
        <v>167</v>
      </c>
      <c r="E34" s="22">
        <v>36</v>
      </c>
    </row>
    <row r="35" spans="1:5">
      <c r="A35" s="94"/>
      <c r="B35" s="96"/>
      <c r="C35" s="50" t="s">
        <v>38</v>
      </c>
      <c r="D35" s="21">
        <v>208</v>
      </c>
      <c r="E35" s="22">
        <v>50</v>
      </c>
    </row>
    <row r="36" spans="1:5">
      <c r="A36" s="94"/>
      <c r="B36" s="96"/>
      <c r="C36" s="50" t="s">
        <v>39</v>
      </c>
      <c r="D36" s="21">
        <v>117</v>
      </c>
      <c r="E36" s="22">
        <v>26</v>
      </c>
    </row>
    <row r="37" spans="1:5">
      <c r="A37" s="94"/>
      <c r="B37" s="96"/>
      <c r="C37" s="50" t="s">
        <v>40</v>
      </c>
      <c r="D37" s="21">
        <v>126</v>
      </c>
      <c r="E37" s="22">
        <v>40</v>
      </c>
    </row>
    <row r="38" spans="1:5">
      <c r="A38" s="94"/>
      <c r="B38" s="96"/>
      <c r="C38" s="50" t="s">
        <v>41</v>
      </c>
      <c r="D38" s="21">
        <v>97</v>
      </c>
      <c r="E38" s="22">
        <v>22</v>
      </c>
    </row>
    <row r="39" spans="1:5">
      <c r="A39" s="94"/>
      <c r="B39" s="82" t="s">
        <v>6</v>
      </c>
      <c r="C39" s="83"/>
      <c r="D39" s="38">
        <f>SUM(D29:D38)</f>
        <v>4557</v>
      </c>
      <c r="E39" s="38">
        <f>SUM(E29:E38)</f>
        <v>1158</v>
      </c>
    </row>
    <row r="40" spans="1:5">
      <c r="A40" s="69">
        <v>5</v>
      </c>
      <c r="B40" s="61" t="s">
        <v>42</v>
      </c>
      <c r="C40" s="27" t="s">
        <v>43</v>
      </c>
      <c r="D40" s="9">
        <v>582</v>
      </c>
      <c r="E40" s="1">
        <v>85</v>
      </c>
    </row>
    <row r="41" spans="1:5">
      <c r="A41" s="69"/>
      <c r="B41" s="62"/>
      <c r="C41" s="27" t="s">
        <v>44</v>
      </c>
      <c r="D41" s="9">
        <v>301</v>
      </c>
      <c r="E41" s="1">
        <v>50</v>
      </c>
    </row>
    <row r="42" spans="1:5">
      <c r="A42" s="69"/>
      <c r="B42" s="62"/>
      <c r="C42" s="27" t="s">
        <v>45</v>
      </c>
      <c r="D42" s="9">
        <v>669</v>
      </c>
      <c r="E42" s="1">
        <v>125</v>
      </c>
    </row>
    <row r="43" spans="1:5">
      <c r="A43" s="69"/>
      <c r="B43" s="62"/>
      <c r="C43" s="27" t="s">
        <v>46</v>
      </c>
      <c r="D43" s="9">
        <v>603</v>
      </c>
      <c r="E43" s="1">
        <v>132</v>
      </c>
    </row>
    <row r="44" spans="1:5">
      <c r="A44" s="69"/>
      <c r="B44" s="62"/>
      <c r="C44" s="27" t="s">
        <v>47</v>
      </c>
      <c r="D44" s="9">
        <v>448</v>
      </c>
      <c r="E44" s="1">
        <v>123</v>
      </c>
    </row>
    <row r="45" spans="1:5">
      <c r="A45" s="69"/>
      <c r="B45" s="62"/>
      <c r="C45" s="27" t="s">
        <v>48</v>
      </c>
      <c r="D45" s="9">
        <v>245</v>
      </c>
      <c r="E45" s="1">
        <v>35</v>
      </c>
    </row>
    <row r="46" spans="1:5">
      <c r="A46" s="69"/>
      <c r="B46" s="62"/>
      <c r="C46" s="27" t="s">
        <v>49</v>
      </c>
      <c r="D46" s="9">
        <v>162</v>
      </c>
      <c r="E46" s="1">
        <v>20</v>
      </c>
    </row>
    <row r="47" spans="1:5">
      <c r="A47" s="69"/>
      <c r="B47" s="80" t="s">
        <v>6</v>
      </c>
      <c r="C47" s="81"/>
      <c r="D47" s="2">
        <f>SUM(D40:D46)</f>
        <v>3010</v>
      </c>
      <c r="E47" s="2">
        <f>SUM(E40:E46)</f>
        <v>570</v>
      </c>
    </row>
    <row r="48" spans="1:5">
      <c r="A48" s="69">
        <v>6</v>
      </c>
      <c r="B48" s="61" t="s">
        <v>50</v>
      </c>
      <c r="C48" s="27" t="s">
        <v>26</v>
      </c>
      <c r="D48" s="1">
        <v>571</v>
      </c>
      <c r="E48" s="9">
        <v>112</v>
      </c>
    </row>
    <row r="49" spans="1:5">
      <c r="A49" s="69"/>
      <c r="B49" s="62"/>
      <c r="C49" s="27" t="s">
        <v>8</v>
      </c>
      <c r="D49" s="1">
        <v>680</v>
      </c>
      <c r="E49" s="9">
        <v>141</v>
      </c>
    </row>
    <row r="50" spans="1:5">
      <c r="A50" s="69"/>
      <c r="B50" s="62"/>
      <c r="C50" s="27" t="s">
        <v>51</v>
      </c>
      <c r="D50" s="1">
        <v>210</v>
      </c>
      <c r="E50" s="9">
        <v>47</v>
      </c>
    </row>
    <row r="51" spans="1:5">
      <c r="A51" s="69"/>
      <c r="B51" s="62"/>
      <c r="C51" s="27" t="s">
        <v>52</v>
      </c>
      <c r="D51" s="1">
        <v>708</v>
      </c>
      <c r="E51" s="9">
        <v>150</v>
      </c>
    </row>
    <row r="52" spans="1:5">
      <c r="A52" s="69"/>
      <c r="B52" s="62"/>
      <c r="C52" s="27" t="s">
        <v>53</v>
      </c>
      <c r="D52" s="1">
        <v>277</v>
      </c>
      <c r="E52" s="9">
        <v>58</v>
      </c>
    </row>
    <row r="53" spans="1:5">
      <c r="A53" s="69"/>
      <c r="B53" s="62"/>
      <c r="C53" s="27" t="s">
        <v>54</v>
      </c>
      <c r="D53" s="1">
        <v>266</v>
      </c>
      <c r="E53" s="9">
        <v>52</v>
      </c>
    </row>
    <row r="54" spans="1:5">
      <c r="A54" s="69"/>
      <c r="B54" s="62"/>
      <c r="C54" s="27" t="s">
        <v>55</v>
      </c>
      <c r="D54" s="1">
        <v>373</v>
      </c>
      <c r="E54" s="9">
        <v>72</v>
      </c>
    </row>
    <row r="55" spans="1:5">
      <c r="A55" s="69"/>
      <c r="B55" s="62"/>
      <c r="C55" s="27" t="s">
        <v>56</v>
      </c>
      <c r="D55" s="1">
        <v>528</v>
      </c>
      <c r="E55" s="9">
        <v>135</v>
      </c>
    </row>
    <row r="56" spans="1:5">
      <c r="A56" s="69"/>
      <c r="B56" s="62"/>
      <c r="C56" s="27" t="s">
        <v>57</v>
      </c>
      <c r="D56" s="1">
        <v>330</v>
      </c>
      <c r="E56" s="9">
        <v>81</v>
      </c>
    </row>
    <row r="57" spans="1:5">
      <c r="A57" s="69"/>
      <c r="B57" s="62"/>
      <c r="C57" s="27" t="s">
        <v>58</v>
      </c>
      <c r="D57" s="1">
        <v>221</v>
      </c>
      <c r="E57" s="9">
        <v>56</v>
      </c>
    </row>
    <row r="58" spans="1:5">
      <c r="A58" s="69"/>
      <c r="B58" s="68" t="s">
        <v>6</v>
      </c>
      <c r="C58" s="68"/>
      <c r="D58" s="3">
        <f>SUM(D48:D57)</f>
        <v>4164</v>
      </c>
      <c r="E58" s="3">
        <f>SUM(E48:E57)</f>
        <v>904</v>
      </c>
    </row>
    <row r="59" spans="1:5">
      <c r="A59" s="69">
        <v>7</v>
      </c>
      <c r="B59" s="61" t="s">
        <v>59</v>
      </c>
      <c r="C59" s="27" t="s">
        <v>59</v>
      </c>
      <c r="D59" s="9">
        <v>247</v>
      </c>
      <c r="E59" s="1">
        <v>38</v>
      </c>
    </row>
    <row r="60" spans="1:5">
      <c r="A60" s="69"/>
      <c r="B60" s="62"/>
      <c r="C60" s="27" t="s">
        <v>60</v>
      </c>
      <c r="D60" s="9">
        <v>251</v>
      </c>
      <c r="E60" s="1">
        <v>45</v>
      </c>
    </row>
    <row r="61" spans="1:5">
      <c r="A61" s="69"/>
      <c r="B61" s="62"/>
      <c r="C61" s="27" t="s">
        <v>61</v>
      </c>
      <c r="D61" s="9">
        <v>174</v>
      </c>
      <c r="E61" s="1">
        <v>34</v>
      </c>
    </row>
    <row r="62" spans="1:5">
      <c r="A62" s="69"/>
      <c r="B62" s="62"/>
      <c r="C62" s="27" t="s">
        <v>62</v>
      </c>
      <c r="D62" s="9">
        <v>284</v>
      </c>
      <c r="E62" s="1">
        <v>55</v>
      </c>
    </row>
    <row r="63" spans="1:5">
      <c r="A63" s="69"/>
      <c r="B63" s="62"/>
      <c r="C63" s="27" t="s">
        <v>63</v>
      </c>
      <c r="D63" s="9">
        <v>364</v>
      </c>
      <c r="E63" s="1">
        <v>97</v>
      </c>
    </row>
    <row r="64" spans="1:5">
      <c r="A64" s="69"/>
      <c r="B64" s="62"/>
      <c r="C64" s="27" t="s">
        <v>64</v>
      </c>
      <c r="D64" s="9">
        <v>1145</v>
      </c>
      <c r="E64" s="1">
        <v>155</v>
      </c>
    </row>
    <row r="65" spans="1:5">
      <c r="A65" s="69"/>
      <c r="B65" s="62"/>
      <c r="C65" s="27" t="s">
        <v>65</v>
      </c>
      <c r="D65" s="9">
        <v>241</v>
      </c>
      <c r="E65" s="1">
        <v>45</v>
      </c>
    </row>
    <row r="66" spans="1:5">
      <c r="A66" s="69"/>
      <c r="B66" s="62"/>
      <c r="C66" s="27" t="s">
        <v>51</v>
      </c>
      <c r="D66" s="9">
        <v>177</v>
      </c>
      <c r="E66" s="1">
        <v>31</v>
      </c>
    </row>
    <row r="67" spans="1:5">
      <c r="A67" s="69"/>
      <c r="B67" s="62"/>
      <c r="C67" s="27" t="s">
        <v>66</v>
      </c>
      <c r="D67" s="9">
        <v>191</v>
      </c>
      <c r="E67" s="1">
        <v>30</v>
      </c>
    </row>
    <row r="68" spans="1:5">
      <c r="A68" s="69"/>
      <c r="B68" s="62"/>
      <c r="C68" s="27" t="s">
        <v>67</v>
      </c>
      <c r="D68" s="9">
        <v>1279</v>
      </c>
      <c r="E68" s="1">
        <v>160</v>
      </c>
    </row>
    <row r="69" spans="1:5">
      <c r="A69" s="69"/>
      <c r="B69" s="68" t="s">
        <v>6</v>
      </c>
      <c r="C69" s="68"/>
      <c r="D69" s="2">
        <f>SUM(D59:D68)</f>
        <v>4353</v>
      </c>
      <c r="E69" s="2">
        <f>SUM(E59:E68)</f>
        <v>690</v>
      </c>
    </row>
    <row r="70" spans="1:5">
      <c r="A70" s="69">
        <v>8</v>
      </c>
      <c r="B70" s="61" t="s">
        <v>68</v>
      </c>
      <c r="C70" s="27" t="s">
        <v>69</v>
      </c>
      <c r="D70" s="9">
        <v>456</v>
      </c>
      <c r="E70" s="1">
        <v>81</v>
      </c>
    </row>
    <row r="71" spans="1:5">
      <c r="A71" s="69"/>
      <c r="B71" s="62"/>
      <c r="C71" s="27" t="s">
        <v>68</v>
      </c>
      <c r="D71" s="9">
        <v>396</v>
      </c>
      <c r="E71" s="1">
        <v>76</v>
      </c>
    </row>
    <row r="72" spans="1:5">
      <c r="A72" s="69"/>
      <c r="B72" s="62"/>
      <c r="C72" s="27" t="s">
        <v>70</v>
      </c>
      <c r="D72" s="9">
        <v>317</v>
      </c>
      <c r="E72" s="1">
        <v>86</v>
      </c>
    </row>
    <row r="73" spans="1:5">
      <c r="A73" s="69"/>
      <c r="B73" s="62"/>
      <c r="C73" s="27" t="s">
        <v>71</v>
      </c>
      <c r="D73" s="9">
        <v>474</v>
      </c>
      <c r="E73" s="1">
        <v>95</v>
      </c>
    </row>
    <row r="74" spans="1:5">
      <c r="A74" s="69"/>
      <c r="B74" s="62"/>
      <c r="C74" s="27" t="s">
        <v>72</v>
      </c>
      <c r="D74" s="9">
        <v>835</v>
      </c>
      <c r="E74" s="1">
        <v>113</v>
      </c>
    </row>
    <row r="75" spans="1:5">
      <c r="A75" s="69"/>
      <c r="B75" s="62"/>
      <c r="C75" s="27" t="s">
        <v>73</v>
      </c>
      <c r="D75" s="9">
        <v>907</v>
      </c>
      <c r="E75" s="1">
        <v>134</v>
      </c>
    </row>
    <row r="76" spans="1:5">
      <c r="A76" s="69"/>
      <c r="B76" s="68" t="s">
        <v>6</v>
      </c>
      <c r="C76" s="68"/>
      <c r="D76" s="3">
        <f>SUM(D70:D75)</f>
        <v>3385</v>
      </c>
      <c r="E76" s="3">
        <f>SUM(E70:E75)</f>
        <v>585</v>
      </c>
    </row>
    <row r="77" spans="1:5">
      <c r="A77" s="94">
        <v>9</v>
      </c>
      <c r="B77" s="95" t="s">
        <v>74</v>
      </c>
      <c r="C77" s="50" t="s">
        <v>75</v>
      </c>
      <c r="D77" s="21">
        <v>357</v>
      </c>
      <c r="E77" s="22">
        <v>79</v>
      </c>
    </row>
    <row r="78" spans="1:5">
      <c r="A78" s="94"/>
      <c r="B78" s="96"/>
      <c r="C78" s="50" t="s">
        <v>76</v>
      </c>
      <c r="D78" s="21">
        <v>383</v>
      </c>
      <c r="E78" s="22">
        <v>38</v>
      </c>
    </row>
    <row r="79" spans="1:5">
      <c r="A79" s="94"/>
      <c r="B79" s="96"/>
      <c r="C79" s="50" t="s">
        <v>77</v>
      </c>
      <c r="D79" s="21">
        <v>341</v>
      </c>
      <c r="E79" s="22">
        <v>76</v>
      </c>
    </row>
    <row r="80" spans="1:5">
      <c r="A80" s="94"/>
      <c r="B80" s="96"/>
      <c r="C80" s="50" t="s">
        <v>78</v>
      </c>
      <c r="D80" s="21">
        <v>389</v>
      </c>
      <c r="E80" s="22">
        <v>90</v>
      </c>
    </row>
    <row r="81" spans="1:5">
      <c r="A81" s="94"/>
      <c r="B81" s="96"/>
      <c r="C81" s="50" t="s">
        <v>79</v>
      </c>
      <c r="D81" s="21">
        <v>191</v>
      </c>
      <c r="E81" s="22">
        <v>39</v>
      </c>
    </row>
    <row r="82" spans="1:5">
      <c r="A82" s="94"/>
      <c r="B82" s="96"/>
      <c r="C82" s="50" t="s">
        <v>80</v>
      </c>
      <c r="D82" s="21">
        <v>205</v>
      </c>
      <c r="E82" s="22">
        <v>33</v>
      </c>
    </row>
    <row r="83" spans="1:5">
      <c r="A83" s="94"/>
      <c r="B83" s="96"/>
      <c r="C83" s="50" t="s">
        <v>81</v>
      </c>
      <c r="D83" s="21">
        <v>347</v>
      </c>
      <c r="E83" s="22">
        <v>46</v>
      </c>
    </row>
    <row r="84" spans="1:5">
      <c r="A84" s="94"/>
      <c r="B84" s="96"/>
      <c r="C84" s="50" t="s">
        <v>82</v>
      </c>
      <c r="D84" s="21">
        <v>361</v>
      </c>
      <c r="E84" s="22">
        <v>84</v>
      </c>
    </row>
    <row r="85" spans="1:5">
      <c r="A85" s="94"/>
      <c r="B85" s="96"/>
      <c r="C85" s="50" t="s">
        <v>83</v>
      </c>
      <c r="D85" s="21">
        <v>239</v>
      </c>
      <c r="E85" s="22">
        <v>58</v>
      </c>
    </row>
    <row r="86" spans="1:5">
      <c r="A86" s="94"/>
      <c r="B86" s="82" t="s">
        <v>6</v>
      </c>
      <c r="C86" s="83"/>
      <c r="D86" s="38">
        <f>SUM(D77:D85)</f>
        <v>2813</v>
      </c>
      <c r="E86" s="38">
        <f>SUM(E77:E85)</f>
        <v>543</v>
      </c>
    </row>
    <row r="87" spans="1:5" ht="15.75">
      <c r="A87" s="87">
        <v>10</v>
      </c>
      <c r="B87" s="97" t="s">
        <v>93</v>
      </c>
      <c r="C87" s="26" t="s">
        <v>84</v>
      </c>
      <c r="D87" s="13">
        <v>98</v>
      </c>
      <c r="E87" s="14">
        <v>14</v>
      </c>
    </row>
    <row r="88" spans="1:5" ht="15.75">
      <c r="A88" s="88"/>
      <c r="B88" s="93"/>
      <c r="C88" s="26" t="s">
        <v>85</v>
      </c>
      <c r="D88" s="13">
        <v>767</v>
      </c>
      <c r="E88" s="14">
        <v>176</v>
      </c>
    </row>
    <row r="89" spans="1:5" ht="15.75">
      <c r="A89" s="88"/>
      <c r="B89" s="93"/>
      <c r="C89" s="26" t="s">
        <v>86</v>
      </c>
      <c r="D89" s="13">
        <v>782</v>
      </c>
      <c r="E89" s="14">
        <v>192</v>
      </c>
    </row>
    <row r="90" spans="1:5" ht="15.75">
      <c r="A90" s="88"/>
      <c r="B90" s="93"/>
      <c r="C90" s="26" t="s">
        <v>87</v>
      </c>
      <c r="D90" s="13">
        <v>238</v>
      </c>
      <c r="E90" s="14">
        <v>47</v>
      </c>
    </row>
    <row r="91" spans="1:5" ht="15.75">
      <c r="A91" s="88"/>
      <c r="B91" s="93"/>
      <c r="C91" s="26" t="s">
        <v>88</v>
      </c>
      <c r="D91" s="13">
        <v>74</v>
      </c>
      <c r="E91" s="14">
        <v>16</v>
      </c>
    </row>
    <row r="92" spans="1:5" ht="15.75">
      <c r="A92" s="88"/>
      <c r="B92" s="93"/>
      <c r="C92" s="26" t="s">
        <v>89</v>
      </c>
      <c r="D92" s="13">
        <v>368</v>
      </c>
      <c r="E92" s="14">
        <v>42</v>
      </c>
    </row>
    <row r="93" spans="1:5" ht="15.75">
      <c r="A93" s="88"/>
      <c r="B93" s="93"/>
      <c r="C93" s="26" t="s">
        <v>90</v>
      </c>
      <c r="D93" s="13">
        <v>546</v>
      </c>
      <c r="E93" s="14">
        <v>129</v>
      </c>
    </row>
    <row r="94" spans="1:5" ht="15.75">
      <c r="A94" s="88"/>
      <c r="B94" s="93"/>
      <c r="C94" s="26" t="s">
        <v>91</v>
      </c>
      <c r="D94" s="13">
        <v>432</v>
      </c>
      <c r="E94" s="14">
        <v>76</v>
      </c>
    </row>
    <row r="95" spans="1:5" ht="15.75">
      <c r="A95" s="88"/>
      <c r="B95" s="93"/>
      <c r="C95" s="26" t="s">
        <v>92</v>
      </c>
      <c r="D95" s="13">
        <v>89</v>
      </c>
      <c r="E95" s="14">
        <v>48</v>
      </c>
    </row>
    <row r="96" spans="1:5" ht="15.75">
      <c r="A96" s="89"/>
      <c r="B96" s="90" t="s">
        <v>6</v>
      </c>
      <c r="C96" s="91"/>
      <c r="D96" s="15">
        <f>SUM(D87:D95)</f>
        <v>3394</v>
      </c>
      <c r="E96" s="15">
        <f>SUM(E87:E95)</f>
        <v>740</v>
      </c>
    </row>
    <row r="97" spans="1:5">
      <c r="A97" s="98">
        <v>11</v>
      </c>
      <c r="B97" s="100" t="s">
        <v>94</v>
      </c>
      <c r="C97" s="51" t="s">
        <v>95</v>
      </c>
      <c r="D97" s="23">
        <v>666</v>
      </c>
      <c r="E97" s="24">
        <v>146</v>
      </c>
    </row>
    <row r="98" spans="1:5">
      <c r="A98" s="98"/>
      <c r="B98" s="101"/>
      <c r="C98" s="51" t="s">
        <v>96</v>
      </c>
      <c r="D98" s="23">
        <v>852</v>
      </c>
      <c r="E98" s="24">
        <v>145</v>
      </c>
    </row>
    <row r="99" spans="1:5">
      <c r="A99" s="98"/>
      <c r="B99" s="101"/>
      <c r="C99" s="51" t="s">
        <v>97</v>
      </c>
      <c r="D99" s="23">
        <v>736</v>
      </c>
      <c r="E99" s="24">
        <v>142</v>
      </c>
    </row>
    <row r="100" spans="1:5">
      <c r="A100" s="98"/>
      <c r="B100" s="101"/>
      <c r="C100" s="51" t="s">
        <v>98</v>
      </c>
      <c r="D100" s="23">
        <v>623</v>
      </c>
      <c r="E100" s="24">
        <v>88</v>
      </c>
    </row>
    <row r="101" spans="1:5">
      <c r="A101" s="98"/>
      <c r="B101" s="101"/>
      <c r="C101" s="51" t="s">
        <v>99</v>
      </c>
      <c r="D101" s="23">
        <v>661</v>
      </c>
      <c r="E101" s="24">
        <v>123</v>
      </c>
    </row>
    <row r="102" spans="1:5">
      <c r="A102" s="98"/>
      <c r="B102" s="101"/>
      <c r="C102" s="51" t="s">
        <v>100</v>
      </c>
      <c r="D102" s="23">
        <v>773</v>
      </c>
      <c r="E102" s="24">
        <v>133</v>
      </c>
    </row>
    <row r="103" spans="1:5">
      <c r="A103" s="98"/>
      <c r="B103" s="101"/>
      <c r="C103" s="51" t="s">
        <v>101</v>
      </c>
      <c r="D103" s="23">
        <v>236</v>
      </c>
      <c r="E103" s="24">
        <v>47</v>
      </c>
    </row>
    <row r="104" spans="1:5">
      <c r="A104" s="98"/>
      <c r="B104" s="101"/>
      <c r="C104" s="51" t="s">
        <v>102</v>
      </c>
      <c r="D104" s="23">
        <v>183</v>
      </c>
      <c r="E104" s="24">
        <v>45</v>
      </c>
    </row>
    <row r="105" spans="1:5">
      <c r="A105" s="98"/>
      <c r="B105" s="101"/>
      <c r="C105" s="51" t="s">
        <v>103</v>
      </c>
      <c r="D105" s="23">
        <v>606</v>
      </c>
      <c r="E105" s="24">
        <v>122</v>
      </c>
    </row>
    <row r="106" spans="1:5">
      <c r="A106" s="98"/>
      <c r="B106" s="101"/>
      <c r="C106" s="51" t="s">
        <v>104</v>
      </c>
      <c r="D106" s="23">
        <v>260</v>
      </c>
      <c r="E106" s="24">
        <v>54</v>
      </c>
    </row>
    <row r="107" spans="1:5">
      <c r="A107" s="98"/>
      <c r="B107" s="99" t="s">
        <v>6</v>
      </c>
      <c r="C107" s="99"/>
      <c r="D107" s="39">
        <f>SUM(D97:D106)</f>
        <v>5596</v>
      </c>
      <c r="E107" s="39">
        <f>SUM(E97:E106)</f>
        <v>1045</v>
      </c>
    </row>
    <row r="108" spans="1:5">
      <c r="A108" s="61">
        <v>12</v>
      </c>
      <c r="B108" s="61" t="s">
        <v>105</v>
      </c>
      <c r="C108" s="27" t="s">
        <v>8</v>
      </c>
      <c r="D108" s="9">
        <v>815</v>
      </c>
      <c r="E108" s="1">
        <v>142</v>
      </c>
    </row>
    <row r="109" spans="1:5">
      <c r="A109" s="62"/>
      <c r="B109" s="62"/>
      <c r="C109" s="27" t="s">
        <v>106</v>
      </c>
      <c r="D109" s="9">
        <v>1602</v>
      </c>
      <c r="E109" s="1">
        <v>327</v>
      </c>
    </row>
    <row r="110" spans="1:5">
      <c r="A110" s="62"/>
      <c r="B110" s="62"/>
      <c r="C110" s="27" t="s">
        <v>107</v>
      </c>
      <c r="D110" s="9">
        <v>1403</v>
      </c>
      <c r="E110" s="1">
        <v>314</v>
      </c>
    </row>
    <row r="111" spans="1:5">
      <c r="A111" s="62"/>
      <c r="B111" s="62"/>
      <c r="C111" s="27" t="s">
        <v>108</v>
      </c>
      <c r="D111" s="9">
        <v>660</v>
      </c>
      <c r="E111" s="1">
        <v>110</v>
      </c>
    </row>
    <row r="112" spans="1:5">
      <c r="A112" s="62"/>
      <c r="B112" s="63"/>
      <c r="C112" s="27" t="s">
        <v>109</v>
      </c>
      <c r="D112" s="9">
        <v>710</v>
      </c>
      <c r="E112" s="1">
        <v>124</v>
      </c>
    </row>
    <row r="113" spans="1:5">
      <c r="A113" s="63"/>
      <c r="B113" s="80" t="s">
        <v>6</v>
      </c>
      <c r="C113" s="81"/>
      <c r="D113" s="3">
        <f>SUM(D108:D112)</f>
        <v>5190</v>
      </c>
      <c r="E113" s="3">
        <f>SUM(E108:E112)</f>
        <v>1017</v>
      </c>
    </row>
    <row r="114" spans="1:5">
      <c r="A114" s="69">
        <v>13</v>
      </c>
      <c r="B114" s="76" t="s">
        <v>110</v>
      </c>
      <c r="C114" s="27" t="s">
        <v>111</v>
      </c>
      <c r="D114" s="9">
        <v>383</v>
      </c>
      <c r="E114" s="1">
        <v>60</v>
      </c>
    </row>
    <row r="115" spans="1:5">
      <c r="A115" s="69"/>
      <c r="B115" s="62"/>
      <c r="C115" s="27" t="s">
        <v>112</v>
      </c>
      <c r="D115" s="9">
        <v>467</v>
      </c>
      <c r="E115" s="1">
        <v>84</v>
      </c>
    </row>
    <row r="116" spans="1:5">
      <c r="A116" s="69"/>
      <c r="B116" s="62"/>
      <c r="C116" s="27" t="s">
        <v>113</v>
      </c>
      <c r="D116" s="9">
        <v>256</v>
      </c>
      <c r="E116" s="1">
        <v>42</v>
      </c>
    </row>
    <row r="117" spans="1:5">
      <c r="A117" s="69"/>
      <c r="B117" s="62"/>
      <c r="C117" s="27" t="s">
        <v>114</v>
      </c>
      <c r="D117" s="9">
        <v>386</v>
      </c>
      <c r="E117" s="1">
        <v>68</v>
      </c>
    </row>
    <row r="118" spans="1:5">
      <c r="A118" s="69"/>
      <c r="B118" s="62"/>
      <c r="C118" s="27" t="s">
        <v>115</v>
      </c>
      <c r="D118" s="9">
        <v>704</v>
      </c>
      <c r="E118" s="1">
        <v>116</v>
      </c>
    </row>
    <row r="119" spans="1:5">
      <c r="A119" s="69"/>
      <c r="B119" s="62"/>
      <c r="C119" s="27" t="s">
        <v>116</v>
      </c>
      <c r="D119" s="9">
        <v>246</v>
      </c>
      <c r="E119" s="1">
        <v>60</v>
      </c>
    </row>
    <row r="120" spans="1:5">
      <c r="A120" s="69"/>
      <c r="B120" s="62"/>
      <c r="C120" s="27" t="s">
        <v>117</v>
      </c>
      <c r="D120" s="9">
        <v>84</v>
      </c>
      <c r="E120" s="1">
        <v>15</v>
      </c>
    </row>
    <row r="121" spans="1:5">
      <c r="A121" s="69"/>
      <c r="B121" s="62"/>
      <c r="C121" s="27" t="s">
        <v>118</v>
      </c>
      <c r="D121" s="9">
        <v>254</v>
      </c>
      <c r="E121" s="1">
        <v>70</v>
      </c>
    </row>
    <row r="122" spans="1:5">
      <c r="A122" s="69"/>
      <c r="B122" s="62"/>
      <c r="C122" s="27" t="s">
        <v>119</v>
      </c>
      <c r="D122" s="9">
        <v>738</v>
      </c>
      <c r="E122" s="1">
        <v>131</v>
      </c>
    </row>
    <row r="123" spans="1:5">
      <c r="A123" s="69"/>
      <c r="B123" s="62"/>
      <c r="C123" s="27" t="s">
        <v>120</v>
      </c>
      <c r="D123" s="9">
        <v>638</v>
      </c>
      <c r="E123" s="1">
        <v>130</v>
      </c>
    </row>
    <row r="124" spans="1:5">
      <c r="A124" s="69"/>
      <c r="B124" s="68" t="s">
        <v>6</v>
      </c>
      <c r="C124" s="68"/>
      <c r="D124" s="3">
        <f>SUM(D114:D123)</f>
        <v>4156</v>
      </c>
      <c r="E124" s="3">
        <f>SUM(E114:E123)</f>
        <v>776</v>
      </c>
    </row>
    <row r="125" spans="1:5">
      <c r="A125" s="69">
        <v>14</v>
      </c>
      <c r="B125" s="61" t="s">
        <v>121</v>
      </c>
      <c r="C125" s="27" t="s">
        <v>121</v>
      </c>
      <c r="D125" s="1">
        <v>583</v>
      </c>
      <c r="E125" s="9">
        <v>107</v>
      </c>
    </row>
    <row r="126" spans="1:5">
      <c r="A126" s="69"/>
      <c r="B126" s="62"/>
      <c r="C126" s="27" t="s">
        <v>122</v>
      </c>
      <c r="D126" s="1">
        <v>678</v>
      </c>
      <c r="E126" s="9">
        <v>127</v>
      </c>
    </row>
    <row r="127" spans="1:5">
      <c r="A127" s="69"/>
      <c r="B127" s="62"/>
      <c r="C127" s="27" t="s">
        <v>123</v>
      </c>
      <c r="D127" s="1">
        <v>72</v>
      </c>
      <c r="E127" s="9">
        <v>15</v>
      </c>
    </row>
    <row r="128" spans="1:5">
      <c r="A128" s="69"/>
      <c r="B128" s="62"/>
      <c r="C128" s="27" t="s">
        <v>124</v>
      </c>
      <c r="D128" s="1">
        <v>86</v>
      </c>
      <c r="E128" s="9">
        <v>20</v>
      </c>
    </row>
    <row r="129" spans="1:5">
      <c r="A129" s="69"/>
      <c r="B129" s="62"/>
      <c r="C129" s="27" t="s">
        <v>125</v>
      </c>
      <c r="D129" s="1">
        <v>420</v>
      </c>
      <c r="E129" s="9">
        <v>98</v>
      </c>
    </row>
    <row r="130" spans="1:5">
      <c r="A130" s="69"/>
      <c r="B130" s="62"/>
      <c r="C130" s="27" t="s">
        <v>126</v>
      </c>
      <c r="D130" s="1">
        <v>274</v>
      </c>
      <c r="E130" s="9">
        <v>55</v>
      </c>
    </row>
    <row r="131" spans="1:5">
      <c r="A131" s="69"/>
      <c r="B131" s="62"/>
      <c r="C131" s="27" t="s">
        <v>51</v>
      </c>
      <c r="D131" s="1">
        <v>270</v>
      </c>
      <c r="E131" s="9">
        <v>54</v>
      </c>
    </row>
    <row r="132" spans="1:5">
      <c r="A132" s="69"/>
      <c r="B132" s="62"/>
      <c r="C132" s="27" t="s">
        <v>8</v>
      </c>
      <c r="D132" s="1">
        <v>172</v>
      </c>
      <c r="E132" s="9">
        <v>35</v>
      </c>
    </row>
    <row r="133" spans="1:5">
      <c r="A133" s="69"/>
      <c r="B133" s="68" t="s">
        <v>6</v>
      </c>
      <c r="C133" s="68"/>
      <c r="D133" s="3">
        <f>SUM(D125:D132)</f>
        <v>2555</v>
      </c>
      <c r="E133" s="3">
        <f>SUM(E125:E132)</f>
        <v>511</v>
      </c>
    </row>
    <row r="134" spans="1:5" ht="15.75">
      <c r="A134" s="87">
        <v>15</v>
      </c>
      <c r="B134" s="92" t="s">
        <v>127</v>
      </c>
      <c r="C134" s="26" t="s">
        <v>84</v>
      </c>
      <c r="D134" s="13">
        <v>158</v>
      </c>
      <c r="E134" s="14">
        <v>32</v>
      </c>
    </row>
    <row r="135" spans="1:5" ht="15.75">
      <c r="A135" s="88"/>
      <c r="B135" s="93"/>
      <c r="C135" s="26" t="s">
        <v>128</v>
      </c>
      <c r="D135" s="13">
        <v>306</v>
      </c>
      <c r="E135" s="14">
        <v>64</v>
      </c>
    </row>
    <row r="136" spans="1:5" ht="15.75">
      <c r="A136" s="88"/>
      <c r="B136" s="93"/>
      <c r="C136" s="26" t="s">
        <v>129</v>
      </c>
      <c r="D136" s="13">
        <v>289</v>
      </c>
      <c r="E136" s="14">
        <v>70</v>
      </c>
    </row>
    <row r="137" spans="1:5" ht="15.75">
      <c r="A137" s="88"/>
      <c r="B137" s="93"/>
      <c r="C137" s="26" t="s">
        <v>130</v>
      </c>
      <c r="D137" s="13">
        <v>631</v>
      </c>
      <c r="E137" s="14">
        <v>109</v>
      </c>
    </row>
    <row r="138" spans="1:5" ht="15.75">
      <c r="A138" s="88"/>
      <c r="B138" s="93"/>
      <c r="C138" s="26" t="s">
        <v>131</v>
      </c>
      <c r="D138" s="13">
        <v>998</v>
      </c>
      <c r="E138" s="14">
        <v>185</v>
      </c>
    </row>
    <row r="139" spans="1:5" ht="15.75">
      <c r="A139" s="88"/>
      <c r="B139" s="93"/>
      <c r="C139" s="26" t="s">
        <v>132</v>
      </c>
      <c r="D139" s="13">
        <v>285</v>
      </c>
      <c r="E139" s="14">
        <v>49</v>
      </c>
    </row>
    <row r="140" spans="1:5" ht="15.75">
      <c r="A140" s="88"/>
      <c r="B140" s="93"/>
      <c r="C140" s="26" t="s">
        <v>133</v>
      </c>
      <c r="D140" s="13">
        <v>225</v>
      </c>
      <c r="E140" s="14">
        <v>40</v>
      </c>
    </row>
    <row r="141" spans="1:5" ht="15.75">
      <c r="A141" s="88"/>
      <c r="B141" s="93"/>
      <c r="C141" s="26" t="s">
        <v>134</v>
      </c>
      <c r="D141" s="13">
        <v>226</v>
      </c>
      <c r="E141" s="14">
        <v>49</v>
      </c>
    </row>
    <row r="142" spans="1:5" ht="15.75">
      <c r="A142" s="88"/>
      <c r="B142" s="93"/>
      <c r="C142" s="26" t="s">
        <v>135</v>
      </c>
      <c r="D142" s="13">
        <v>501</v>
      </c>
      <c r="E142" s="14">
        <v>85</v>
      </c>
    </row>
    <row r="143" spans="1:5" ht="15.75">
      <c r="A143" s="88"/>
      <c r="B143" s="93"/>
      <c r="C143" s="26" t="s">
        <v>65</v>
      </c>
      <c r="D143" s="13">
        <v>154</v>
      </c>
      <c r="E143" s="14">
        <v>27</v>
      </c>
    </row>
    <row r="144" spans="1:5" ht="15.75">
      <c r="A144" s="89"/>
      <c r="B144" s="90" t="s">
        <v>6</v>
      </c>
      <c r="C144" s="91"/>
      <c r="D144" s="15">
        <f>SUM(D134:D143)</f>
        <v>3773</v>
      </c>
      <c r="E144" s="15">
        <f>SUM(E134:E143)</f>
        <v>710</v>
      </c>
    </row>
    <row r="145" spans="1:5">
      <c r="A145" s="84">
        <v>16</v>
      </c>
      <c r="B145" s="85" t="s">
        <v>136</v>
      </c>
      <c r="C145" s="50" t="s">
        <v>137</v>
      </c>
      <c r="D145" s="25">
        <v>967</v>
      </c>
      <c r="E145" s="21">
        <v>165</v>
      </c>
    </row>
    <row r="146" spans="1:5">
      <c r="A146" s="84"/>
      <c r="B146" s="86"/>
      <c r="C146" s="50" t="s">
        <v>138</v>
      </c>
      <c r="D146" s="25">
        <v>1348</v>
      </c>
      <c r="E146" s="21">
        <v>212</v>
      </c>
    </row>
    <row r="147" spans="1:5">
      <c r="A147" s="84"/>
      <c r="B147" s="86"/>
      <c r="C147" s="50" t="s">
        <v>139</v>
      </c>
      <c r="D147" s="25">
        <v>324</v>
      </c>
      <c r="E147" s="21">
        <v>56</v>
      </c>
    </row>
    <row r="148" spans="1:5">
      <c r="A148" s="84"/>
      <c r="B148" s="86"/>
      <c r="C148" s="50" t="s">
        <v>140</v>
      </c>
      <c r="D148" s="25">
        <v>368</v>
      </c>
      <c r="E148" s="21">
        <v>61</v>
      </c>
    </row>
    <row r="149" spans="1:5">
      <c r="A149" s="84"/>
      <c r="B149" s="86"/>
      <c r="C149" s="50" t="s">
        <v>141</v>
      </c>
      <c r="D149" s="25">
        <v>295</v>
      </c>
      <c r="E149" s="21">
        <v>44</v>
      </c>
    </row>
    <row r="150" spans="1:5">
      <c r="A150" s="84"/>
      <c r="B150" s="82" t="s">
        <v>6</v>
      </c>
      <c r="C150" s="83"/>
      <c r="D150" s="40">
        <f>SUM(D145:D149)</f>
        <v>3302</v>
      </c>
      <c r="E150" s="40">
        <f>SUM(E145:E149)</f>
        <v>538</v>
      </c>
    </row>
    <row r="151" spans="1:5">
      <c r="A151" s="69">
        <v>17</v>
      </c>
      <c r="B151" s="61" t="s">
        <v>142</v>
      </c>
      <c r="C151" s="27" t="s">
        <v>143</v>
      </c>
      <c r="D151" s="9">
        <v>657</v>
      </c>
      <c r="E151" s="1">
        <v>117</v>
      </c>
    </row>
    <row r="152" spans="1:5">
      <c r="A152" s="69"/>
      <c r="B152" s="62"/>
      <c r="C152" s="27" t="s">
        <v>144</v>
      </c>
      <c r="D152" s="9">
        <v>261</v>
      </c>
      <c r="E152" s="1">
        <v>45</v>
      </c>
    </row>
    <row r="153" spans="1:5">
      <c r="A153" s="69"/>
      <c r="B153" s="62"/>
      <c r="C153" s="27" t="s">
        <v>145</v>
      </c>
      <c r="D153" s="9">
        <v>1241</v>
      </c>
      <c r="E153" s="1">
        <v>189</v>
      </c>
    </row>
    <row r="154" spans="1:5">
      <c r="A154" s="69"/>
      <c r="B154" s="62"/>
      <c r="C154" s="27" t="s">
        <v>146</v>
      </c>
      <c r="D154" s="9">
        <v>161</v>
      </c>
      <c r="E154" s="1">
        <v>27</v>
      </c>
    </row>
    <row r="155" spans="1:5">
      <c r="A155" s="69"/>
      <c r="B155" s="62"/>
      <c r="C155" s="27" t="s">
        <v>147</v>
      </c>
      <c r="D155" s="9">
        <v>290</v>
      </c>
      <c r="E155" s="1">
        <v>56</v>
      </c>
    </row>
    <row r="156" spans="1:5">
      <c r="A156" s="69"/>
      <c r="B156" s="62"/>
      <c r="C156" s="27" t="s">
        <v>148</v>
      </c>
      <c r="D156" s="9">
        <v>746</v>
      </c>
      <c r="E156" s="1">
        <v>149</v>
      </c>
    </row>
    <row r="157" spans="1:5">
      <c r="A157" s="69"/>
      <c r="B157" s="62"/>
      <c r="C157" s="27" t="s">
        <v>149</v>
      </c>
      <c r="D157" s="9">
        <v>296</v>
      </c>
      <c r="E157" s="1">
        <v>98</v>
      </c>
    </row>
    <row r="158" spans="1:5">
      <c r="A158" s="69"/>
      <c r="B158" s="62"/>
      <c r="C158" s="27" t="s">
        <v>150</v>
      </c>
      <c r="D158" s="9">
        <v>319</v>
      </c>
      <c r="E158" s="1">
        <v>56</v>
      </c>
    </row>
    <row r="159" spans="1:5">
      <c r="A159" s="69"/>
      <c r="B159" s="62"/>
      <c r="C159" s="27" t="s">
        <v>151</v>
      </c>
      <c r="D159" s="9">
        <v>550</v>
      </c>
      <c r="E159" s="1">
        <v>110</v>
      </c>
    </row>
    <row r="160" spans="1:5">
      <c r="A160" s="69"/>
      <c r="B160" s="62"/>
      <c r="C160" s="27" t="s">
        <v>152</v>
      </c>
      <c r="D160" s="9">
        <v>260</v>
      </c>
      <c r="E160" s="1">
        <v>49</v>
      </c>
    </row>
    <row r="161" spans="1:5">
      <c r="A161" s="69"/>
      <c r="B161" s="62"/>
      <c r="C161" s="27" t="s">
        <v>153</v>
      </c>
      <c r="D161" s="9">
        <v>380</v>
      </c>
      <c r="E161" s="1">
        <v>112</v>
      </c>
    </row>
    <row r="162" spans="1:5">
      <c r="A162" s="69"/>
      <c r="B162" s="68" t="s">
        <v>6</v>
      </c>
      <c r="C162" s="68"/>
      <c r="D162" s="3">
        <f>SUM(D151:D161)</f>
        <v>5161</v>
      </c>
      <c r="E162" s="3">
        <f>SUM(E151:E161)</f>
        <v>1008</v>
      </c>
    </row>
    <row r="163" spans="1:5" ht="15.75">
      <c r="A163" s="69">
        <v>18</v>
      </c>
      <c r="B163" s="61" t="s">
        <v>154</v>
      </c>
      <c r="C163" s="26" t="s">
        <v>155</v>
      </c>
      <c r="D163" s="13">
        <v>745</v>
      </c>
      <c r="E163" s="13">
        <v>162</v>
      </c>
    </row>
    <row r="164" spans="1:5" ht="15.75">
      <c r="A164" s="69"/>
      <c r="B164" s="62"/>
      <c r="C164" s="26" t="s">
        <v>156</v>
      </c>
      <c r="D164" s="13">
        <v>763</v>
      </c>
      <c r="E164" s="13">
        <v>112</v>
      </c>
    </row>
    <row r="165" spans="1:5" ht="15.75">
      <c r="A165" s="69"/>
      <c r="B165" s="62"/>
      <c r="C165" s="26" t="s">
        <v>157</v>
      </c>
      <c r="D165" s="13">
        <v>733</v>
      </c>
      <c r="E165" s="13">
        <v>116</v>
      </c>
    </row>
    <row r="166" spans="1:5" ht="15.75">
      <c r="A166" s="69"/>
      <c r="B166" s="62"/>
      <c r="C166" s="26" t="s">
        <v>158</v>
      </c>
      <c r="D166" s="13">
        <v>670</v>
      </c>
      <c r="E166" s="13">
        <v>66</v>
      </c>
    </row>
    <row r="167" spans="1:5" ht="15.75">
      <c r="A167" s="69"/>
      <c r="B167" s="62"/>
      <c r="C167" s="26" t="s">
        <v>159</v>
      </c>
      <c r="D167" s="13">
        <v>693</v>
      </c>
      <c r="E167" s="13">
        <v>103</v>
      </c>
    </row>
    <row r="168" spans="1:5" ht="15.75">
      <c r="A168" s="69"/>
      <c r="B168" s="62"/>
      <c r="C168" s="26" t="s">
        <v>160</v>
      </c>
      <c r="D168" s="13">
        <v>486</v>
      </c>
      <c r="E168" s="13">
        <v>69</v>
      </c>
    </row>
    <row r="169" spans="1:5">
      <c r="A169" s="69"/>
      <c r="B169" s="68" t="s">
        <v>6</v>
      </c>
      <c r="C169" s="68"/>
      <c r="D169" s="2">
        <f>SUM(D163:D168)</f>
        <v>4090</v>
      </c>
      <c r="E169" s="2">
        <f>SUM(E163:E168)</f>
        <v>628</v>
      </c>
    </row>
    <row r="170" spans="1:5">
      <c r="A170" s="69">
        <v>19</v>
      </c>
      <c r="B170" s="61" t="s">
        <v>162</v>
      </c>
      <c r="C170" s="27" t="s">
        <v>163</v>
      </c>
      <c r="D170" s="9">
        <v>648</v>
      </c>
      <c r="E170" s="1">
        <v>85</v>
      </c>
    </row>
    <row r="171" spans="1:5">
      <c r="A171" s="69"/>
      <c r="B171" s="62"/>
      <c r="C171" s="27" t="s">
        <v>164</v>
      </c>
      <c r="D171" s="9">
        <v>356</v>
      </c>
      <c r="E171" s="1">
        <v>55</v>
      </c>
    </row>
    <row r="172" spans="1:5">
      <c r="A172" s="69"/>
      <c r="B172" s="62"/>
      <c r="C172" s="27" t="s">
        <v>165</v>
      </c>
      <c r="D172" s="9">
        <v>669</v>
      </c>
      <c r="E172" s="1">
        <v>125</v>
      </c>
    </row>
    <row r="173" spans="1:5">
      <c r="A173" s="69"/>
      <c r="B173" s="62"/>
      <c r="C173" s="27" t="s">
        <v>166</v>
      </c>
      <c r="D173" s="9">
        <v>675</v>
      </c>
      <c r="E173" s="1">
        <v>132</v>
      </c>
    </row>
    <row r="174" spans="1:5">
      <c r="A174" s="69"/>
      <c r="B174" s="62"/>
      <c r="C174" s="27" t="s">
        <v>167</v>
      </c>
      <c r="D174" s="9">
        <v>528</v>
      </c>
      <c r="E174" s="1">
        <v>123</v>
      </c>
    </row>
    <row r="175" spans="1:5">
      <c r="A175" s="69"/>
      <c r="B175" s="62"/>
      <c r="C175" s="27" t="s">
        <v>168</v>
      </c>
      <c r="D175" s="9">
        <v>349</v>
      </c>
      <c r="E175" s="1">
        <v>65</v>
      </c>
    </row>
    <row r="176" spans="1:5">
      <c r="A176" s="69"/>
      <c r="B176" s="80" t="s">
        <v>6</v>
      </c>
      <c r="C176" s="81"/>
      <c r="D176" s="2">
        <f>SUM(D170:D175)</f>
        <v>3225</v>
      </c>
      <c r="E176" s="2">
        <f>SUM(E170:E175)</f>
        <v>585</v>
      </c>
    </row>
    <row r="177" spans="1:5">
      <c r="A177" s="69">
        <v>20</v>
      </c>
      <c r="B177" s="61" t="s">
        <v>169</v>
      </c>
      <c r="C177" s="27" t="s">
        <v>170</v>
      </c>
      <c r="D177" s="9">
        <v>428</v>
      </c>
      <c r="E177" s="1">
        <v>107</v>
      </c>
    </row>
    <row r="178" spans="1:5">
      <c r="A178" s="69"/>
      <c r="B178" s="62"/>
      <c r="C178" s="27" t="s">
        <v>171</v>
      </c>
      <c r="D178" s="9">
        <v>785</v>
      </c>
      <c r="E178" s="1">
        <v>137</v>
      </c>
    </row>
    <row r="179" spans="1:5">
      <c r="A179" s="69"/>
      <c r="B179" s="62"/>
      <c r="C179" s="27" t="s">
        <v>172</v>
      </c>
      <c r="D179" s="9">
        <v>878</v>
      </c>
      <c r="E179" s="1">
        <v>145</v>
      </c>
    </row>
    <row r="180" spans="1:5">
      <c r="A180" s="69"/>
      <c r="B180" s="62"/>
      <c r="C180" s="27" t="s">
        <v>173</v>
      </c>
      <c r="D180" s="9">
        <v>255</v>
      </c>
      <c r="E180" s="1">
        <v>61</v>
      </c>
    </row>
    <row r="181" spans="1:5">
      <c r="A181" s="69"/>
      <c r="B181" s="62"/>
      <c r="C181" s="27" t="s">
        <v>174</v>
      </c>
      <c r="D181" s="9">
        <v>401</v>
      </c>
      <c r="E181" s="1">
        <v>97</v>
      </c>
    </row>
    <row r="182" spans="1:5">
      <c r="A182" s="69"/>
      <c r="B182" s="62"/>
      <c r="C182" s="27" t="s">
        <v>175</v>
      </c>
      <c r="D182" s="9">
        <v>516</v>
      </c>
      <c r="E182" s="1">
        <v>101</v>
      </c>
    </row>
    <row r="183" spans="1:5">
      <c r="A183" s="69"/>
      <c r="B183" s="62"/>
      <c r="C183" s="27" t="s">
        <v>176</v>
      </c>
      <c r="D183" s="9">
        <v>524</v>
      </c>
      <c r="E183" s="1">
        <v>63</v>
      </c>
    </row>
    <row r="184" spans="1:5">
      <c r="A184" s="69"/>
      <c r="B184" s="62"/>
      <c r="C184" s="27" t="s">
        <v>177</v>
      </c>
      <c r="D184" s="9">
        <v>565</v>
      </c>
      <c r="E184" s="1">
        <v>75</v>
      </c>
    </row>
    <row r="185" spans="1:5">
      <c r="A185" s="69"/>
      <c r="B185" s="68" t="s">
        <v>6</v>
      </c>
      <c r="C185" s="68"/>
      <c r="D185" s="2">
        <f>SUM(D177:D184)</f>
        <v>4352</v>
      </c>
      <c r="E185" s="2">
        <f>SUM(E177:E184)</f>
        <v>786</v>
      </c>
    </row>
    <row r="186" spans="1:5">
      <c r="A186" s="61">
        <v>21</v>
      </c>
      <c r="B186" s="61" t="s">
        <v>178</v>
      </c>
      <c r="C186" s="27" t="s">
        <v>84</v>
      </c>
      <c r="D186" s="9">
        <v>652</v>
      </c>
      <c r="E186" s="1">
        <v>160</v>
      </c>
    </row>
    <row r="187" spans="1:5">
      <c r="A187" s="62"/>
      <c r="B187" s="62"/>
      <c r="C187" s="27" t="s">
        <v>179</v>
      </c>
      <c r="D187" s="9">
        <v>272</v>
      </c>
      <c r="E187" s="1">
        <v>32</v>
      </c>
    </row>
    <row r="188" spans="1:5">
      <c r="A188" s="62"/>
      <c r="B188" s="62"/>
      <c r="C188" s="27" t="s">
        <v>180</v>
      </c>
      <c r="D188" s="9">
        <v>225</v>
      </c>
      <c r="E188" s="1">
        <v>30</v>
      </c>
    </row>
    <row r="189" spans="1:5">
      <c r="A189" s="62"/>
      <c r="B189" s="62"/>
      <c r="C189" s="27" t="s">
        <v>181</v>
      </c>
      <c r="D189" s="9">
        <v>268</v>
      </c>
      <c r="E189" s="1">
        <v>35</v>
      </c>
    </row>
    <row r="190" spans="1:5">
      <c r="A190" s="62"/>
      <c r="B190" s="62"/>
      <c r="C190" s="27" t="s">
        <v>182</v>
      </c>
      <c r="D190" s="9">
        <v>375</v>
      </c>
      <c r="E190" s="1">
        <v>70</v>
      </c>
    </row>
    <row r="191" spans="1:5">
      <c r="A191" s="62"/>
      <c r="B191" s="62"/>
      <c r="C191" s="27" t="s">
        <v>183</v>
      </c>
      <c r="D191" s="9">
        <v>320</v>
      </c>
      <c r="E191" s="1">
        <v>56</v>
      </c>
    </row>
    <row r="192" spans="1:5">
      <c r="A192" s="62"/>
      <c r="B192" s="62"/>
      <c r="C192" s="27" t="s">
        <v>184</v>
      </c>
      <c r="D192" s="9">
        <v>350</v>
      </c>
      <c r="E192" s="1">
        <v>66</v>
      </c>
    </row>
    <row r="193" spans="1:5">
      <c r="A193" s="62"/>
      <c r="B193" s="62"/>
      <c r="C193" s="27" t="s">
        <v>185</v>
      </c>
      <c r="D193" s="9">
        <v>335</v>
      </c>
      <c r="E193" s="1">
        <v>65</v>
      </c>
    </row>
    <row r="194" spans="1:5">
      <c r="A194" s="62"/>
      <c r="B194" s="62"/>
      <c r="C194" s="27" t="s">
        <v>186</v>
      </c>
      <c r="D194" s="9">
        <v>755</v>
      </c>
      <c r="E194" s="1">
        <v>125</v>
      </c>
    </row>
    <row r="195" spans="1:5">
      <c r="A195" s="62"/>
      <c r="B195" s="62"/>
      <c r="C195" s="27" t="s">
        <v>187</v>
      </c>
      <c r="D195" s="9">
        <v>388</v>
      </c>
      <c r="E195" s="1">
        <v>110</v>
      </c>
    </row>
    <row r="196" spans="1:5">
      <c r="A196" s="62"/>
      <c r="B196" s="62"/>
      <c r="C196" s="27" t="s">
        <v>188</v>
      </c>
      <c r="D196" s="9">
        <v>950</v>
      </c>
      <c r="E196" s="1">
        <v>160</v>
      </c>
    </row>
    <row r="197" spans="1:5">
      <c r="A197" s="62"/>
      <c r="B197" s="62"/>
      <c r="C197" s="27" t="s">
        <v>189</v>
      </c>
      <c r="D197" s="9">
        <v>395</v>
      </c>
      <c r="E197" s="1">
        <v>30</v>
      </c>
    </row>
    <row r="198" spans="1:5">
      <c r="A198" s="62"/>
      <c r="B198" s="62"/>
      <c r="C198" s="27" t="s">
        <v>190</v>
      </c>
      <c r="D198" s="9">
        <v>250</v>
      </c>
      <c r="E198" s="1">
        <v>32</v>
      </c>
    </row>
    <row r="199" spans="1:5">
      <c r="A199" s="62"/>
      <c r="B199" s="62"/>
      <c r="C199" s="27" t="s">
        <v>191</v>
      </c>
      <c r="D199" s="9">
        <v>265</v>
      </c>
      <c r="E199" s="1">
        <v>34</v>
      </c>
    </row>
    <row r="200" spans="1:5">
      <c r="A200" s="62"/>
      <c r="B200" s="62"/>
      <c r="C200" s="27" t="s">
        <v>192</v>
      </c>
      <c r="D200" s="9">
        <v>375</v>
      </c>
      <c r="E200" s="1">
        <v>50</v>
      </c>
    </row>
    <row r="201" spans="1:5">
      <c r="A201" s="62"/>
      <c r="B201" s="62"/>
      <c r="C201" s="27" t="s">
        <v>193</v>
      </c>
      <c r="D201" s="9">
        <v>950</v>
      </c>
      <c r="E201" s="1">
        <v>150</v>
      </c>
    </row>
    <row r="202" spans="1:5">
      <c r="A202" s="63"/>
      <c r="B202" s="80" t="s">
        <v>6</v>
      </c>
      <c r="C202" s="81"/>
      <c r="D202" s="2">
        <f>SUM(D186:D201)</f>
        <v>7125</v>
      </c>
      <c r="E202" s="3">
        <f>SUM(E186:E201)</f>
        <v>1205</v>
      </c>
    </row>
    <row r="203" spans="1:5">
      <c r="A203" s="69">
        <v>22</v>
      </c>
      <c r="B203" s="61" t="s">
        <v>194</v>
      </c>
      <c r="C203" s="27" t="s">
        <v>195</v>
      </c>
      <c r="D203" s="9">
        <v>648</v>
      </c>
      <c r="E203" s="1">
        <v>162</v>
      </c>
    </row>
    <row r="204" spans="1:5">
      <c r="A204" s="69"/>
      <c r="B204" s="62"/>
      <c r="C204" s="27" t="s">
        <v>196</v>
      </c>
      <c r="D204" s="9">
        <v>1247</v>
      </c>
      <c r="E204" s="1">
        <v>197</v>
      </c>
    </row>
    <row r="205" spans="1:5">
      <c r="A205" s="69"/>
      <c r="B205" s="62"/>
      <c r="C205" s="27" t="s">
        <v>197</v>
      </c>
      <c r="D205" s="9">
        <v>846</v>
      </c>
      <c r="E205" s="1">
        <v>87</v>
      </c>
    </row>
    <row r="206" spans="1:5">
      <c r="A206" s="69"/>
      <c r="B206" s="62"/>
      <c r="C206" s="27" t="s">
        <v>198</v>
      </c>
      <c r="D206" s="9">
        <v>1145</v>
      </c>
      <c r="E206" s="1">
        <v>109</v>
      </c>
    </row>
    <row r="207" spans="1:5">
      <c r="A207" s="69"/>
      <c r="B207" s="62"/>
      <c r="C207" s="27" t="s">
        <v>199</v>
      </c>
      <c r="D207" s="9">
        <v>164</v>
      </c>
      <c r="E207" s="1">
        <v>41</v>
      </c>
    </row>
    <row r="208" spans="1:5">
      <c r="A208" s="69"/>
      <c r="B208" s="62"/>
      <c r="C208" s="27" t="s">
        <v>200</v>
      </c>
      <c r="D208" s="9">
        <v>1325</v>
      </c>
      <c r="E208" s="1">
        <v>114</v>
      </c>
    </row>
    <row r="209" spans="1:5">
      <c r="A209" s="69"/>
      <c r="B209" s="68" t="s">
        <v>6</v>
      </c>
      <c r="C209" s="68"/>
      <c r="D209" s="2">
        <f>SUM(D203:D208)</f>
        <v>5375</v>
      </c>
      <c r="E209" s="2">
        <f>SUM(E203:E208)</f>
        <v>710</v>
      </c>
    </row>
    <row r="210" spans="1:5">
      <c r="A210" s="69">
        <v>23</v>
      </c>
      <c r="B210" s="61" t="s">
        <v>208</v>
      </c>
      <c r="C210" s="27" t="s">
        <v>207</v>
      </c>
      <c r="D210" s="9">
        <v>2660</v>
      </c>
      <c r="E210" s="1">
        <v>410</v>
      </c>
    </row>
    <row r="211" spans="1:5">
      <c r="A211" s="69"/>
      <c r="B211" s="62"/>
      <c r="C211" s="27" t="s">
        <v>206</v>
      </c>
      <c r="D211" s="9">
        <v>388</v>
      </c>
      <c r="E211" s="1">
        <v>87</v>
      </c>
    </row>
    <row r="212" spans="1:5">
      <c r="A212" s="69"/>
      <c r="B212" s="62"/>
      <c r="C212" s="27" t="s">
        <v>205</v>
      </c>
      <c r="D212" s="9">
        <v>285</v>
      </c>
      <c r="E212" s="1">
        <v>67</v>
      </c>
    </row>
    <row r="213" spans="1:5">
      <c r="A213" s="69"/>
      <c r="B213" s="62"/>
      <c r="C213" s="27" t="s">
        <v>204</v>
      </c>
      <c r="D213" s="9">
        <v>467</v>
      </c>
      <c r="E213" s="1">
        <v>89</v>
      </c>
    </row>
    <row r="214" spans="1:5">
      <c r="A214" s="69"/>
      <c r="B214" s="62"/>
      <c r="C214" s="27" t="s">
        <v>203</v>
      </c>
      <c r="D214" s="9">
        <v>635</v>
      </c>
      <c r="E214" s="1">
        <v>127</v>
      </c>
    </row>
    <row r="215" spans="1:5">
      <c r="A215" s="69"/>
      <c r="B215" s="62"/>
      <c r="C215" s="27" t="s">
        <v>202</v>
      </c>
      <c r="D215" s="9">
        <v>1423</v>
      </c>
      <c r="E215" s="1">
        <v>230</v>
      </c>
    </row>
    <row r="216" spans="1:5">
      <c r="A216" s="69"/>
      <c r="B216" s="10" t="s">
        <v>6</v>
      </c>
      <c r="C216" s="52" t="s">
        <v>201</v>
      </c>
      <c r="D216" s="3">
        <f>SUM(D210:D215)</f>
        <v>5858</v>
      </c>
      <c r="E216" s="3">
        <f>SUM(E210:E215)</f>
        <v>1010</v>
      </c>
    </row>
    <row r="217" spans="1:5">
      <c r="A217" s="69">
        <v>24</v>
      </c>
      <c r="B217" s="61" t="s">
        <v>209</v>
      </c>
      <c r="C217" s="27" t="s">
        <v>210</v>
      </c>
      <c r="D217" s="9">
        <v>450</v>
      </c>
      <c r="E217" s="1">
        <v>74</v>
      </c>
    </row>
    <row r="218" spans="1:5">
      <c r="A218" s="69"/>
      <c r="B218" s="62"/>
      <c r="C218" s="27" t="s">
        <v>3</v>
      </c>
      <c r="D218" s="9">
        <v>587</v>
      </c>
      <c r="E218" s="1">
        <v>105</v>
      </c>
    </row>
    <row r="219" spans="1:5">
      <c r="A219" s="69"/>
      <c r="B219" s="62"/>
      <c r="C219" s="27" t="s">
        <v>211</v>
      </c>
      <c r="D219" s="9">
        <v>645</v>
      </c>
      <c r="E219" s="1">
        <v>165</v>
      </c>
    </row>
    <row r="220" spans="1:5">
      <c r="A220" s="69"/>
      <c r="B220" s="62"/>
      <c r="C220" s="27" t="s">
        <v>212</v>
      </c>
      <c r="D220" s="9">
        <v>549</v>
      </c>
      <c r="E220" s="1">
        <v>101</v>
      </c>
    </row>
    <row r="221" spans="1:5">
      <c r="A221" s="69"/>
      <c r="B221" s="62"/>
      <c r="C221" s="27" t="s">
        <v>209</v>
      </c>
      <c r="D221" s="9">
        <v>296</v>
      </c>
      <c r="E221" s="1">
        <v>52</v>
      </c>
    </row>
    <row r="222" spans="1:5">
      <c r="A222" s="69"/>
      <c r="B222" s="62"/>
      <c r="C222" s="27" t="s">
        <v>213</v>
      </c>
      <c r="D222" s="9">
        <v>301</v>
      </c>
      <c r="E222" s="1">
        <v>64</v>
      </c>
    </row>
    <row r="223" spans="1:5">
      <c r="A223" s="69"/>
      <c r="B223" s="62"/>
      <c r="C223" s="27" t="s">
        <v>214</v>
      </c>
      <c r="D223" s="9">
        <v>90</v>
      </c>
      <c r="E223" s="1">
        <v>17</v>
      </c>
    </row>
    <row r="224" spans="1:5">
      <c r="A224" s="69"/>
      <c r="B224" s="62"/>
      <c r="C224" s="27" t="s">
        <v>215</v>
      </c>
      <c r="D224" s="9">
        <v>313</v>
      </c>
      <c r="E224" s="1">
        <v>62</v>
      </c>
    </row>
    <row r="225" spans="1:5">
      <c r="A225" s="69"/>
      <c r="B225" s="62"/>
      <c r="C225" s="27" t="s">
        <v>216</v>
      </c>
      <c r="D225" s="9">
        <v>110</v>
      </c>
      <c r="E225" s="1">
        <v>27</v>
      </c>
    </row>
    <row r="226" spans="1:5">
      <c r="A226" s="69"/>
      <c r="B226" s="62"/>
      <c r="C226" s="27" t="s">
        <v>133</v>
      </c>
      <c r="D226" s="9">
        <v>186</v>
      </c>
      <c r="E226" s="1">
        <v>34</v>
      </c>
    </row>
    <row r="227" spans="1:5">
      <c r="A227" s="69"/>
      <c r="B227" s="62"/>
      <c r="C227" s="27" t="s">
        <v>8</v>
      </c>
      <c r="D227" s="9">
        <v>486</v>
      </c>
      <c r="E227" s="1">
        <v>89</v>
      </c>
    </row>
    <row r="228" spans="1:5">
      <c r="A228" s="69"/>
      <c r="B228" s="62"/>
      <c r="C228" s="27" t="s">
        <v>217</v>
      </c>
      <c r="D228" s="9">
        <v>202</v>
      </c>
      <c r="E228" s="1">
        <v>45</v>
      </c>
    </row>
    <row r="229" spans="1:5">
      <c r="A229" s="69"/>
      <c r="B229" s="62"/>
      <c r="C229" s="27" t="s">
        <v>218</v>
      </c>
      <c r="D229" s="9">
        <v>195</v>
      </c>
      <c r="E229" s="1">
        <v>46</v>
      </c>
    </row>
    <row r="230" spans="1:5">
      <c r="A230" s="69"/>
      <c r="B230" s="62"/>
      <c r="C230" s="27" t="s">
        <v>219</v>
      </c>
      <c r="D230" s="9">
        <v>796</v>
      </c>
      <c r="E230" s="1">
        <v>180</v>
      </c>
    </row>
    <row r="231" spans="1:5">
      <c r="A231" s="69"/>
      <c r="B231" s="62"/>
      <c r="C231" s="27" t="s">
        <v>220</v>
      </c>
      <c r="D231" s="9">
        <v>224</v>
      </c>
      <c r="E231" s="1">
        <v>40</v>
      </c>
    </row>
    <row r="232" spans="1:5">
      <c r="A232" s="69"/>
      <c r="B232" s="62"/>
      <c r="C232" s="27" t="s">
        <v>221</v>
      </c>
      <c r="D232" s="9">
        <v>179</v>
      </c>
      <c r="E232" s="1">
        <v>39</v>
      </c>
    </row>
    <row r="233" spans="1:5">
      <c r="A233" s="69"/>
      <c r="B233" s="62"/>
      <c r="C233" s="27" t="s">
        <v>222</v>
      </c>
      <c r="D233" s="9">
        <v>57</v>
      </c>
      <c r="E233" s="1">
        <v>13</v>
      </c>
    </row>
    <row r="234" spans="1:5">
      <c r="A234" s="69"/>
      <c r="B234" s="63"/>
      <c r="C234" s="27" t="s">
        <v>223</v>
      </c>
      <c r="D234" s="9">
        <v>219</v>
      </c>
      <c r="E234" s="1">
        <v>50</v>
      </c>
    </row>
    <row r="235" spans="1:5">
      <c r="A235" s="69"/>
      <c r="B235" s="68" t="s">
        <v>6</v>
      </c>
      <c r="C235" s="68"/>
      <c r="D235" s="3">
        <f>SUM(D217:D234)</f>
        <v>5885</v>
      </c>
      <c r="E235" s="3">
        <f>SUM(E217:E234)</f>
        <v>1203</v>
      </c>
    </row>
    <row r="236" spans="1:5">
      <c r="A236" s="69">
        <v>25</v>
      </c>
      <c r="B236" s="61" t="s">
        <v>224</v>
      </c>
      <c r="C236" s="27" t="s">
        <v>225</v>
      </c>
      <c r="D236" s="9">
        <v>1292</v>
      </c>
      <c r="E236" s="28">
        <v>262</v>
      </c>
    </row>
    <row r="237" spans="1:5">
      <c r="A237" s="69"/>
      <c r="B237" s="62"/>
      <c r="C237" s="27" t="s">
        <v>226</v>
      </c>
      <c r="D237" s="9">
        <v>885</v>
      </c>
      <c r="E237" s="28">
        <v>154</v>
      </c>
    </row>
    <row r="238" spans="1:5">
      <c r="A238" s="69"/>
      <c r="B238" s="62"/>
      <c r="C238" s="27" t="s">
        <v>227</v>
      </c>
      <c r="D238" s="9">
        <v>2971</v>
      </c>
      <c r="E238" s="28">
        <v>505</v>
      </c>
    </row>
    <row r="239" spans="1:5">
      <c r="A239" s="69"/>
      <c r="B239" s="62"/>
      <c r="C239" s="27" t="s">
        <v>228</v>
      </c>
      <c r="D239" s="9">
        <v>135</v>
      </c>
      <c r="E239" s="28">
        <v>32</v>
      </c>
    </row>
    <row r="240" spans="1:5">
      <c r="A240" s="69"/>
      <c r="B240" s="62"/>
      <c r="C240" s="27" t="s">
        <v>229</v>
      </c>
      <c r="D240" s="9">
        <v>312</v>
      </c>
      <c r="E240" s="28">
        <v>56</v>
      </c>
    </row>
    <row r="241" spans="1:5">
      <c r="A241" s="69"/>
      <c r="B241" s="78" t="s">
        <v>6</v>
      </c>
      <c r="C241" s="79"/>
      <c r="D241" s="29">
        <f>SUM(D236:D240)</f>
        <v>5595</v>
      </c>
      <c r="E241" s="29">
        <f>SUM(E236:E240)</f>
        <v>1009</v>
      </c>
    </row>
    <row r="242" spans="1:5">
      <c r="A242" s="69">
        <v>26</v>
      </c>
      <c r="B242" s="61" t="s">
        <v>230</v>
      </c>
      <c r="C242" s="27" t="s">
        <v>231</v>
      </c>
      <c r="D242" s="9">
        <v>1268</v>
      </c>
      <c r="E242" s="1">
        <v>221</v>
      </c>
    </row>
    <row r="243" spans="1:5">
      <c r="A243" s="69"/>
      <c r="B243" s="62"/>
      <c r="C243" s="27" t="s">
        <v>8</v>
      </c>
      <c r="D243" s="9">
        <v>690</v>
      </c>
      <c r="E243" s="1">
        <v>46</v>
      </c>
    </row>
    <row r="244" spans="1:5">
      <c r="A244" s="69"/>
      <c r="B244" s="62"/>
      <c r="C244" s="27" t="s">
        <v>232</v>
      </c>
      <c r="D244" s="9">
        <v>607</v>
      </c>
      <c r="E244" s="1">
        <v>78</v>
      </c>
    </row>
    <row r="245" spans="1:5">
      <c r="A245" s="69"/>
      <c r="B245" s="62"/>
      <c r="C245" s="27" t="s">
        <v>233</v>
      </c>
      <c r="D245" s="9">
        <v>945</v>
      </c>
      <c r="E245" s="1">
        <v>95</v>
      </c>
    </row>
    <row r="246" spans="1:5">
      <c r="A246" s="69"/>
      <c r="B246" s="62"/>
      <c r="C246" s="27" t="s">
        <v>234</v>
      </c>
      <c r="D246" s="9">
        <v>1056</v>
      </c>
      <c r="E246" s="1">
        <v>205</v>
      </c>
    </row>
    <row r="247" spans="1:5">
      <c r="A247" s="69"/>
      <c r="B247" s="62"/>
      <c r="C247" s="27" t="s">
        <v>235</v>
      </c>
      <c r="D247" s="9">
        <v>510</v>
      </c>
      <c r="E247" s="1">
        <v>65</v>
      </c>
    </row>
    <row r="248" spans="1:5">
      <c r="A248" s="69"/>
      <c r="B248" s="62"/>
      <c r="C248" s="27" t="s">
        <v>161</v>
      </c>
      <c r="D248" s="9">
        <v>690</v>
      </c>
      <c r="E248" s="1">
        <v>73</v>
      </c>
    </row>
    <row r="249" spans="1:5">
      <c r="A249" s="69"/>
      <c r="B249" s="68" t="s">
        <v>6</v>
      </c>
      <c r="C249" s="68"/>
      <c r="D249" s="2">
        <f>SUM(D242:D248)</f>
        <v>5766</v>
      </c>
      <c r="E249" s="2">
        <f>SUM(E242:E248)</f>
        <v>783</v>
      </c>
    </row>
    <row r="250" spans="1:5">
      <c r="A250" s="69">
        <v>27</v>
      </c>
      <c r="B250" s="61" t="s">
        <v>236</v>
      </c>
      <c r="C250" s="27" t="s">
        <v>8</v>
      </c>
      <c r="D250" s="1">
        <v>356</v>
      </c>
      <c r="E250" s="9">
        <v>58</v>
      </c>
    </row>
    <row r="251" spans="1:5">
      <c r="A251" s="69"/>
      <c r="B251" s="62"/>
      <c r="C251" s="27" t="s">
        <v>237</v>
      </c>
      <c r="D251" s="1">
        <v>361</v>
      </c>
      <c r="E251" s="9">
        <v>72</v>
      </c>
    </row>
    <row r="252" spans="1:5">
      <c r="A252" s="69"/>
      <c r="B252" s="62"/>
      <c r="C252" s="27" t="s">
        <v>236</v>
      </c>
      <c r="D252" s="1">
        <v>604</v>
      </c>
      <c r="E252" s="9">
        <v>121</v>
      </c>
    </row>
    <row r="253" spans="1:5">
      <c r="A253" s="69"/>
      <c r="B253" s="62"/>
      <c r="C253" s="27" t="s">
        <v>238</v>
      </c>
      <c r="D253" s="1">
        <v>440</v>
      </c>
      <c r="E253" s="9">
        <v>82</v>
      </c>
    </row>
    <row r="254" spans="1:5">
      <c r="A254" s="69"/>
      <c r="B254" s="62"/>
      <c r="C254" s="27" t="s">
        <v>239</v>
      </c>
      <c r="D254" s="1">
        <v>401</v>
      </c>
      <c r="E254" s="9">
        <v>75</v>
      </c>
    </row>
    <row r="255" spans="1:5">
      <c r="A255" s="69"/>
      <c r="B255" s="62"/>
      <c r="C255" s="27" t="s">
        <v>240</v>
      </c>
      <c r="D255" s="1">
        <v>510</v>
      </c>
      <c r="E255" s="9">
        <v>98</v>
      </c>
    </row>
    <row r="256" spans="1:5">
      <c r="A256" s="69"/>
      <c r="B256" s="62"/>
      <c r="C256" s="27" t="s">
        <v>241</v>
      </c>
      <c r="D256" s="1">
        <v>298</v>
      </c>
      <c r="E256" s="9">
        <v>51</v>
      </c>
    </row>
    <row r="257" spans="1:5">
      <c r="A257" s="69"/>
      <c r="B257" s="62"/>
      <c r="C257" s="27" t="s">
        <v>242</v>
      </c>
      <c r="D257" s="1">
        <v>238</v>
      </c>
      <c r="E257" s="9">
        <v>46</v>
      </c>
    </row>
    <row r="258" spans="1:5">
      <c r="A258" s="69"/>
      <c r="B258" s="62"/>
      <c r="C258" s="27" t="s">
        <v>243</v>
      </c>
      <c r="D258" s="1">
        <v>294</v>
      </c>
      <c r="E258" s="9">
        <v>44</v>
      </c>
    </row>
    <row r="259" spans="1:5">
      <c r="A259" s="69"/>
      <c r="B259" s="62"/>
      <c r="C259" s="27" t="s">
        <v>244</v>
      </c>
      <c r="D259" s="1">
        <v>236</v>
      </c>
      <c r="E259" s="9">
        <v>38</v>
      </c>
    </row>
    <row r="260" spans="1:5">
      <c r="A260" s="69"/>
      <c r="B260" s="62"/>
      <c r="C260" s="27" t="s">
        <v>245</v>
      </c>
      <c r="D260" s="1">
        <v>362</v>
      </c>
      <c r="E260" s="9">
        <v>70</v>
      </c>
    </row>
    <row r="261" spans="1:5">
      <c r="A261" s="69"/>
      <c r="B261" s="68" t="s">
        <v>6</v>
      </c>
      <c r="C261" s="68"/>
      <c r="D261" s="2">
        <f>SUM(D250:D260)</f>
        <v>4100</v>
      </c>
      <c r="E261" s="2">
        <f>SUM(E250:E260)</f>
        <v>755</v>
      </c>
    </row>
    <row r="262" spans="1:5" ht="15.75">
      <c r="A262" s="69">
        <v>28</v>
      </c>
      <c r="B262" s="61" t="s">
        <v>246</v>
      </c>
      <c r="C262" s="53" t="s">
        <v>247</v>
      </c>
      <c r="D262" s="30">
        <v>621</v>
      </c>
      <c r="E262" s="30">
        <v>100</v>
      </c>
    </row>
    <row r="263" spans="1:5" ht="15.75">
      <c r="A263" s="69"/>
      <c r="B263" s="62"/>
      <c r="C263" s="53" t="s">
        <v>248</v>
      </c>
      <c r="D263" s="30">
        <v>1925</v>
      </c>
      <c r="E263" s="30">
        <v>283</v>
      </c>
    </row>
    <row r="264" spans="1:5" ht="15.75">
      <c r="A264" s="69"/>
      <c r="B264" s="62"/>
      <c r="C264" s="53" t="s">
        <v>249</v>
      </c>
      <c r="D264" s="30">
        <v>350</v>
      </c>
      <c r="E264" s="30">
        <v>54</v>
      </c>
    </row>
    <row r="265" spans="1:5" ht="15.75">
      <c r="A265" s="69"/>
      <c r="B265" s="62"/>
      <c r="C265" s="53" t="s">
        <v>250</v>
      </c>
      <c r="D265" s="30">
        <v>827</v>
      </c>
      <c r="E265" s="30">
        <v>103</v>
      </c>
    </row>
    <row r="266" spans="1:5" ht="15.75">
      <c r="A266" s="69"/>
      <c r="B266" s="62"/>
      <c r="C266" s="53" t="s">
        <v>251</v>
      </c>
      <c r="D266" s="30">
        <v>282</v>
      </c>
      <c r="E266" s="30">
        <v>54</v>
      </c>
    </row>
    <row r="267" spans="1:5" ht="15.75">
      <c r="A267" s="69"/>
      <c r="B267" s="62"/>
      <c r="C267" s="53" t="s">
        <v>252</v>
      </c>
      <c r="D267" s="31">
        <v>1793</v>
      </c>
      <c r="E267" s="31">
        <v>332</v>
      </c>
    </row>
    <row r="268" spans="1:5" ht="15.75">
      <c r="A268" s="69"/>
      <c r="B268" s="62"/>
      <c r="C268" s="53" t="s">
        <v>253</v>
      </c>
      <c r="D268" s="7">
        <v>510</v>
      </c>
      <c r="E268" s="7">
        <v>105</v>
      </c>
    </row>
    <row r="269" spans="1:5">
      <c r="A269" s="69"/>
      <c r="B269" s="68" t="s">
        <v>6</v>
      </c>
      <c r="C269" s="68"/>
      <c r="D269" s="2">
        <v>1031</v>
      </c>
      <c r="E269" s="2">
        <v>6308</v>
      </c>
    </row>
    <row r="270" spans="1:5">
      <c r="A270" s="69">
        <v>29</v>
      </c>
      <c r="B270" s="76" t="s">
        <v>254</v>
      </c>
      <c r="C270" s="27" t="s">
        <v>255</v>
      </c>
      <c r="D270" s="9">
        <v>350</v>
      </c>
      <c r="E270" s="1">
        <v>98</v>
      </c>
    </row>
    <row r="271" spans="1:5">
      <c r="A271" s="69"/>
      <c r="B271" s="77"/>
      <c r="C271" s="27" t="s">
        <v>256</v>
      </c>
      <c r="D271" s="9">
        <v>710</v>
      </c>
      <c r="E271" s="1">
        <v>130</v>
      </c>
    </row>
    <row r="272" spans="1:5">
      <c r="A272" s="69"/>
      <c r="B272" s="77"/>
      <c r="C272" s="27" t="s">
        <v>257</v>
      </c>
      <c r="D272" s="9">
        <v>720</v>
      </c>
      <c r="E272" s="1">
        <v>136</v>
      </c>
    </row>
    <row r="273" spans="1:5">
      <c r="A273" s="69"/>
      <c r="B273" s="77"/>
      <c r="C273" s="27" t="s">
        <v>258</v>
      </c>
      <c r="D273" s="9">
        <v>861</v>
      </c>
      <c r="E273" s="1">
        <v>151</v>
      </c>
    </row>
    <row r="274" spans="1:5">
      <c r="A274" s="69"/>
      <c r="B274" s="68" t="s">
        <v>6</v>
      </c>
      <c r="C274" s="68"/>
      <c r="D274" s="3">
        <f>SUM(D270:D273)</f>
        <v>2641</v>
      </c>
      <c r="E274" s="3">
        <f>SUM(E270:E273)</f>
        <v>515</v>
      </c>
    </row>
    <row r="275" spans="1:5" s="34" customFormat="1">
      <c r="A275" s="107">
        <v>30</v>
      </c>
      <c r="B275" s="108" t="s">
        <v>259</v>
      </c>
      <c r="C275" s="54" t="s">
        <v>260</v>
      </c>
      <c r="D275" s="32">
        <v>676</v>
      </c>
      <c r="E275" s="33">
        <v>130</v>
      </c>
    </row>
    <row r="276" spans="1:5" s="34" customFormat="1">
      <c r="A276" s="107"/>
      <c r="B276" s="109"/>
      <c r="C276" s="54" t="s">
        <v>261</v>
      </c>
      <c r="D276" s="32">
        <v>208</v>
      </c>
      <c r="E276" s="33">
        <v>40</v>
      </c>
    </row>
    <row r="277" spans="1:5" s="34" customFormat="1">
      <c r="A277" s="107"/>
      <c r="B277" s="109"/>
      <c r="C277" s="54" t="s">
        <v>262</v>
      </c>
      <c r="D277" s="32">
        <v>468</v>
      </c>
      <c r="E277" s="33">
        <v>90</v>
      </c>
    </row>
    <row r="278" spans="1:5" s="34" customFormat="1">
      <c r="A278" s="107"/>
      <c r="B278" s="109"/>
      <c r="C278" s="54" t="s">
        <v>263</v>
      </c>
      <c r="D278" s="32">
        <v>364</v>
      </c>
      <c r="E278" s="33">
        <v>70</v>
      </c>
    </row>
    <row r="279" spans="1:5" s="34" customFormat="1">
      <c r="A279" s="107"/>
      <c r="B279" s="109"/>
      <c r="C279" s="54" t="s">
        <v>259</v>
      </c>
      <c r="D279" s="32">
        <v>414</v>
      </c>
      <c r="E279" s="33">
        <v>80</v>
      </c>
    </row>
    <row r="280" spans="1:5" s="34" customFormat="1">
      <c r="A280" s="107"/>
      <c r="B280" s="109"/>
      <c r="C280" s="54" t="s">
        <v>113</v>
      </c>
      <c r="D280" s="32">
        <v>676</v>
      </c>
      <c r="E280" s="33">
        <v>130</v>
      </c>
    </row>
    <row r="281" spans="1:5" s="34" customFormat="1">
      <c r="A281" s="107"/>
      <c r="B281" s="109"/>
      <c r="C281" s="54" t="s">
        <v>264</v>
      </c>
      <c r="D281" s="32">
        <v>104</v>
      </c>
      <c r="E281" s="33">
        <v>20</v>
      </c>
    </row>
    <row r="282" spans="1:5" s="34" customFormat="1">
      <c r="A282" s="107"/>
      <c r="B282" s="110" t="s">
        <v>6</v>
      </c>
      <c r="C282" s="110"/>
      <c r="D282" s="41">
        <f>SUM(D275:D281)</f>
        <v>2910</v>
      </c>
      <c r="E282" s="41">
        <f>SUM(E275:E281)</f>
        <v>560</v>
      </c>
    </row>
    <row r="283" spans="1:5">
      <c r="A283" s="61">
        <v>31</v>
      </c>
      <c r="B283" s="61" t="s">
        <v>265</v>
      </c>
      <c r="C283" s="27" t="s">
        <v>45</v>
      </c>
      <c r="D283" s="9">
        <v>726</v>
      </c>
      <c r="E283" s="1">
        <v>92</v>
      </c>
    </row>
    <row r="284" spans="1:5">
      <c r="A284" s="62"/>
      <c r="B284" s="62"/>
      <c r="C284" s="27" t="s">
        <v>266</v>
      </c>
      <c r="D284" s="9">
        <v>1089</v>
      </c>
      <c r="E284" s="1">
        <v>245</v>
      </c>
    </row>
    <row r="285" spans="1:5">
      <c r="A285" s="62"/>
      <c r="B285" s="62"/>
      <c r="C285" s="27" t="s">
        <v>267</v>
      </c>
      <c r="D285" s="9">
        <v>1329</v>
      </c>
      <c r="E285" s="1">
        <v>270</v>
      </c>
    </row>
    <row r="286" spans="1:5">
      <c r="A286" s="62"/>
      <c r="B286" s="62"/>
      <c r="C286" s="27" t="s">
        <v>268</v>
      </c>
      <c r="D286" s="9">
        <v>293</v>
      </c>
      <c r="E286" s="1">
        <v>47</v>
      </c>
    </row>
    <row r="287" spans="1:5">
      <c r="A287" s="62"/>
      <c r="B287" s="62"/>
      <c r="C287" s="27" t="s">
        <v>269</v>
      </c>
      <c r="D287" s="9">
        <v>446</v>
      </c>
      <c r="E287" s="1">
        <v>78</v>
      </c>
    </row>
    <row r="288" spans="1:5">
      <c r="A288" s="62"/>
      <c r="B288" s="62"/>
      <c r="C288" s="27" t="s">
        <v>270</v>
      </c>
      <c r="D288" s="9">
        <v>332</v>
      </c>
      <c r="E288" s="1">
        <v>70</v>
      </c>
    </row>
    <row r="289" spans="1:5">
      <c r="A289" s="62"/>
      <c r="B289" s="62"/>
      <c r="C289" s="27" t="s">
        <v>3</v>
      </c>
      <c r="D289" s="9">
        <v>376</v>
      </c>
      <c r="E289" s="1">
        <v>70</v>
      </c>
    </row>
    <row r="290" spans="1:5">
      <c r="A290" s="62"/>
      <c r="B290" s="62"/>
      <c r="C290" s="27" t="s">
        <v>271</v>
      </c>
      <c r="D290" s="9">
        <v>602</v>
      </c>
      <c r="E290" s="1">
        <v>110</v>
      </c>
    </row>
    <row r="291" spans="1:5">
      <c r="A291" s="62"/>
      <c r="B291" s="63"/>
      <c r="C291" s="27" t="s">
        <v>272</v>
      </c>
      <c r="D291" s="9">
        <v>173</v>
      </c>
      <c r="E291" s="1">
        <v>28</v>
      </c>
    </row>
    <row r="292" spans="1:5">
      <c r="A292" s="63"/>
      <c r="B292" s="111" t="s">
        <v>6</v>
      </c>
      <c r="C292" s="111"/>
      <c r="D292" s="42">
        <f>SUM(D283:D291)</f>
        <v>5366</v>
      </c>
      <c r="E292" s="42">
        <f>SUM(E283:E291)</f>
        <v>1010</v>
      </c>
    </row>
    <row r="293" spans="1:5">
      <c r="A293" s="69">
        <v>32</v>
      </c>
      <c r="B293" s="61" t="s">
        <v>273</v>
      </c>
      <c r="C293" s="27" t="s">
        <v>273</v>
      </c>
      <c r="D293" s="9">
        <v>450</v>
      </c>
      <c r="E293" s="1">
        <v>75</v>
      </c>
    </row>
    <row r="294" spans="1:5">
      <c r="A294" s="69"/>
      <c r="B294" s="62"/>
      <c r="C294" s="27" t="s">
        <v>60</v>
      </c>
      <c r="D294" s="9">
        <v>251</v>
      </c>
      <c r="E294" s="1">
        <v>45</v>
      </c>
    </row>
    <row r="295" spans="1:5">
      <c r="A295" s="69"/>
      <c r="B295" s="62"/>
      <c r="C295" s="27" t="s">
        <v>274</v>
      </c>
      <c r="D295" s="9">
        <v>805</v>
      </c>
      <c r="E295" s="1">
        <v>135</v>
      </c>
    </row>
    <row r="296" spans="1:5">
      <c r="A296" s="69"/>
      <c r="B296" s="62"/>
      <c r="C296" s="27" t="s">
        <v>275</v>
      </c>
      <c r="D296" s="9">
        <v>284</v>
      </c>
      <c r="E296" s="1">
        <v>55</v>
      </c>
    </row>
    <row r="297" spans="1:5">
      <c r="A297" s="69"/>
      <c r="B297" s="62"/>
      <c r="C297" s="27" t="s">
        <v>276</v>
      </c>
      <c r="D297" s="9">
        <v>352</v>
      </c>
      <c r="E297" s="1">
        <v>28</v>
      </c>
    </row>
    <row r="298" spans="1:5">
      <c r="A298" s="69"/>
      <c r="B298" s="62"/>
      <c r="C298" s="27" t="s">
        <v>277</v>
      </c>
      <c r="D298" s="9">
        <v>710</v>
      </c>
      <c r="E298" s="1">
        <v>155</v>
      </c>
    </row>
    <row r="299" spans="1:5">
      <c r="A299" s="69"/>
      <c r="B299" s="62"/>
      <c r="C299" s="27" t="s">
        <v>278</v>
      </c>
      <c r="D299" s="9">
        <v>805</v>
      </c>
      <c r="E299" s="1">
        <v>134</v>
      </c>
    </row>
    <row r="300" spans="1:5">
      <c r="A300" s="69"/>
      <c r="B300" s="62"/>
      <c r="C300" s="27" t="s">
        <v>279</v>
      </c>
      <c r="D300" s="9">
        <v>377</v>
      </c>
      <c r="E300" s="1">
        <v>32</v>
      </c>
    </row>
    <row r="301" spans="1:5">
      <c r="A301" s="69"/>
      <c r="B301" s="62"/>
      <c r="C301" s="27" t="s">
        <v>280</v>
      </c>
      <c r="D301" s="9">
        <v>191</v>
      </c>
      <c r="E301" s="1">
        <v>30</v>
      </c>
    </row>
    <row r="302" spans="1:5">
      <c r="A302" s="69"/>
      <c r="B302" s="62"/>
      <c r="C302" s="27" t="s">
        <v>239</v>
      </c>
      <c r="D302" s="9">
        <v>400</v>
      </c>
      <c r="E302" s="1">
        <v>65</v>
      </c>
    </row>
    <row r="303" spans="1:5">
      <c r="A303" s="69"/>
      <c r="B303" s="68" t="s">
        <v>6</v>
      </c>
      <c r="C303" s="68"/>
      <c r="D303" s="3">
        <f>SUM(D293:D302)</f>
        <v>4625</v>
      </c>
      <c r="E303" s="3">
        <f>SUM(E293:E302)</f>
        <v>754</v>
      </c>
    </row>
    <row r="304" spans="1:5">
      <c r="A304" s="61">
        <v>33</v>
      </c>
      <c r="B304" s="61" t="s">
        <v>281</v>
      </c>
      <c r="C304" s="27" t="s">
        <v>282</v>
      </c>
      <c r="D304" s="9">
        <v>1288</v>
      </c>
      <c r="E304" s="1">
        <v>223</v>
      </c>
    </row>
    <row r="305" spans="1:5">
      <c r="A305" s="62"/>
      <c r="B305" s="62"/>
      <c r="C305" s="27" t="s">
        <v>283</v>
      </c>
      <c r="D305" s="9">
        <v>699</v>
      </c>
      <c r="E305" s="1">
        <v>160</v>
      </c>
    </row>
    <row r="306" spans="1:5">
      <c r="A306" s="62"/>
      <c r="B306" s="62"/>
      <c r="C306" s="27" t="s">
        <v>30</v>
      </c>
      <c r="D306" s="9">
        <v>537</v>
      </c>
      <c r="E306" s="1">
        <v>119</v>
      </c>
    </row>
    <row r="307" spans="1:5">
      <c r="A307" s="62"/>
      <c r="B307" s="62"/>
      <c r="C307" s="27" t="s">
        <v>58</v>
      </c>
      <c r="D307" s="9">
        <v>216</v>
      </c>
      <c r="E307" s="1">
        <v>36</v>
      </c>
    </row>
    <row r="308" spans="1:5">
      <c r="A308" s="62"/>
      <c r="B308" s="63"/>
      <c r="C308" s="27" t="s">
        <v>284</v>
      </c>
      <c r="D308" s="9">
        <v>222</v>
      </c>
      <c r="E308" s="1">
        <v>27</v>
      </c>
    </row>
    <row r="309" spans="1:5">
      <c r="A309" s="63"/>
      <c r="B309" s="80" t="s">
        <v>6</v>
      </c>
      <c r="C309" s="81"/>
      <c r="D309" s="3">
        <f>SUM(D304:D308)</f>
        <v>2962</v>
      </c>
      <c r="E309" s="3">
        <f>SUM(E304:E308)</f>
        <v>565</v>
      </c>
    </row>
    <row r="310" spans="1:5" s="34" customFormat="1">
      <c r="A310" s="107">
        <v>34</v>
      </c>
      <c r="B310" s="108" t="s">
        <v>285</v>
      </c>
      <c r="C310" s="54" t="s">
        <v>286</v>
      </c>
      <c r="D310" s="32">
        <v>641</v>
      </c>
      <c r="E310" s="33">
        <v>95</v>
      </c>
    </row>
    <row r="311" spans="1:5" s="34" customFormat="1">
      <c r="A311" s="107"/>
      <c r="B311" s="109"/>
      <c r="C311" s="54" t="s">
        <v>287</v>
      </c>
      <c r="D311" s="32">
        <v>856</v>
      </c>
      <c r="E311" s="33">
        <v>227</v>
      </c>
    </row>
    <row r="312" spans="1:5" s="34" customFormat="1">
      <c r="A312" s="107"/>
      <c r="B312" s="109"/>
      <c r="C312" s="54" t="s">
        <v>170</v>
      </c>
      <c r="D312" s="32">
        <v>654</v>
      </c>
      <c r="E312" s="33">
        <v>97</v>
      </c>
    </row>
    <row r="313" spans="1:5" s="34" customFormat="1">
      <c r="A313" s="107"/>
      <c r="B313" s="109"/>
      <c r="C313" s="54" t="s">
        <v>288</v>
      </c>
      <c r="D313" s="32">
        <v>485</v>
      </c>
      <c r="E313" s="33">
        <v>84</v>
      </c>
    </row>
    <row r="314" spans="1:5" s="34" customFormat="1">
      <c r="A314" s="107"/>
      <c r="B314" s="109"/>
      <c r="C314" s="54" t="s">
        <v>289</v>
      </c>
      <c r="D314" s="32">
        <v>675</v>
      </c>
      <c r="E314" s="33">
        <v>135</v>
      </c>
    </row>
    <row r="315" spans="1:5" s="34" customFormat="1">
      <c r="A315" s="107"/>
      <c r="B315" s="109"/>
      <c r="C315" s="54" t="s">
        <v>285</v>
      </c>
      <c r="D315" s="32">
        <v>318</v>
      </c>
      <c r="E315" s="33">
        <v>46</v>
      </c>
    </row>
    <row r="316" spans="1:5" s="34" customFormat="1">
      <c r="A316" s="107"/>
      <c r="B316" s="109"/>
      <c r="C316" s="54" t="s">
        <v>290</v>
      </c>
      <c r="D316" s="32">
        <v>94</v>
      </c>
      <c r="E316" s="33">
        <v>25</v>
      </c>
    </row>
    <row r="317" spans="1:5" s="34" customFormat="1">
      <c r="A317" s="107"/>
      <c r="B317" s="109"/>
      <c r="C317" s="54" t="s">
        <v>291</v>
      </c>
      <c r="D317" s="32">
        <v>595</v>
      </c>
      <c r="E317" s="33">
        <v>71</v>
      </c>
    </row>
    <row r="318" spans="1:5" s="34" customFormat="1">
      <c r="A318" s="107"/>
      <c r="B318" s="110" t="s">
        <v>6</v>
      </c>
      <c r="C318" s="110"/>
      <c r="D318" s="41">
        <f>SUM(D310:D317)</f>
        <v>4318</v>
      </c>
      <c r="E318" s="41">
        <f>SUM(E310:E317)</f>
        <v>780</v>
      </c>
    </row>
    <row r="319" spans="1:5">
      <c r="A319" s="69">
        <v>35</v>
      </c>
      <c r="B319" s="61" t="s">
        <v>292</v>
      </c>
      <c r="C319" s="27" t="s">
        <v>293</v>
      </c>
      <c r="D319" s="9">
        <v>640</v>
      </c>
      <c r="E319" s="1">
        <v>79</v>
      </c>
    </row>
    <row r="320" spans="1:5">
      <c r="A320" s="69"/>
      <c r="B320" s="62"/>
      <c r="C320" s="27" t="s">
        <v>294</v>
      </c>
      <c r="D320" s="9">
        <v>306</v>
      </c>
      <c r="E320" s="1">
        <v>55</v>
      </c>
    </row>
    <row r="321" spans="1:5">
      <c r="A321" s="69"/>
      <c r="B321" s="62"/>
      <c r="C321" s="27" t="s">
        <v>295</v>
      </c>
      <c r="D321" s="9">
        <v>195</v>
      </c>
      <c r="E321" s="1">
        <v>35</v>
      </c>
    </row>
    <row r="322" spans="1:5">
      <c r="A322" s="69"/>
      <c r="B322" s="62"/>
      <c r="C322" s="27" t="s">
        <v>296</v>
      </c>
      <c r="D322" s="9">
        <v>420</v>
      </c>
      <c r="E322" s="1">
        <v>75</v>
      </c>
    </row>
    <row r="323" spans="1:5">
      <c r="A323" s="69"/>
      <c r="B323" s="62"/>
      <c r="C323" s="27" t="s">
        <v>297</v>
      </c>
      <c r="D323" s="9">
        <v>885</v>
      </c>
      <c r="E323" s="1">
        <v>144</v>
      </c>
    </row>
    <row r="324" spans="1:5">
      <c r="A324" s="69"/>
      <c r="B324" s="62"/>
      <c r="C324" s="27" t="s">
        <v>298</v>
      </c>
      <c r="D324" s="9">
        <v>302</v>
      </c>
      <c r="E324" s="1">
        <v>51</v>
      </c>
    </row>
    <row r="325" spans="1:5">
      <c r="A325" s="69"/>
      <c r="B325" s="62"/>
      <c r="C325" s="27" t="s">
        <v>299</v>
      </c>
      <c r="D325" s="9">
        <v>238</v>
      </c>
      <c r="E325" s="1">
        <v>42</v>
      </c>
    </row>
    <row r="326" spans="1:5">
      <c r="A326" s="69"/>
      <c r="B326" s="62"/>
      <c r="C326" s="27" t="s">
        <v>300</v>
      </c>
      <c r="D326" s="9">
        <v>680</v>
      </c>
      <c r="E326" s="1">
        <v>118</v>
      </c>
    </row>
    <row r="327" spans="1:5">
      <c r="A327" s="69"/>
      <c r="B327" s="62"/>
      <c r="C327" s="27" t="s">
        <v>301</v>
      </c>
      <c r="D327" s="9">
        <v>290</v>
      </c>
      <c r="E327" s="1">
        <v>57</v>
      </c>
    </row>
    <row r="328" spans="1:5">
      <c r="A328" s="69"/>
      <c r="B328" s="68" t="s">
        <v>6</v>
      </c>
      <c r="C328" s="68"/>
      <c r="D328" s="3">
        <f>SUM(D319:D327)</f>
        <v>3956</v>
      </c>
      <c r="E328" s="3">
        <f>SUM(E319:E327)</f>
        <v>656</v>
      </c>
    </row>
    <row r="329" spans="1:5">
      <c r="A329" s="69">
        <v>36</v>
      </c>
      <c r="B329" s="61" t="s">
        <v>302</v>
      </c>
      <c r="C329" s="27" t="s">
        <v>303</v>
      </c>
      <c r="D329" s="9">
        <v>523</v>
      </c>
      <c r="E329" s="1">
        <v>100</v>
      </c>
    </row>
    <row r="330" spans="1:5">
      <c r="A330" s="69"/>
      <c r="B330" s="62"/>
      <c r="C330" s="27" t="s">
        <v>304</v>
      </c>
      <c r="D330" s="9">
        <v>481</v>
      </c>
      <c r="E330" s="1">
        <v>90</v>
      </c>
    </row>
    <row r="331" spans="1:5">
      <c r="A331" s="69"/>
      <c r="B331" s="62"/>
      <c r="C331" s="27" t="s">
        <v>305</v>
      </c>
      <c r="D331" s="9">
        <v>369</v>
      </c>
      <c r="E331" s="1">
        <v>80</v>
      </c>
    </row>
    <row r="332" spans="1:5">
      <c r="A332" s="69"/>
      <c r="B332" s="62"/>
      <c r="C332" s="27" t="s">
        <v>306</v>
      </c>
      <c r="D332" s="9">
        <v>748</v>
      </c>
      <c r="E332" s="1">
        <v>130</v>
      </c>
    </row>
    <row r="333" spans="1:5">
      <c r="A333" s="69"/>
      <c r="B333" s="62"/>
      <c r="C333" s="27" t="s">
        <v>307</v>
      </c>
      <c r="D333" s="9">
        <v>752</v>
      </c>
      <c r="E333" s="1">
        <v>160</v>
      </c>
    </row>
    <row r="334" spans="1:5">
      <c r="A334" s="69"/>
      <c r="B334" s="62"/>
      <c r="C334" s="27" t="s">
        <v>308</v>
      </c>
      <c r="D334" s="9">
        <v>772</v>
      </c>
      <c r="E334" s="1">
        <v>160</v>
      </c>
    </row>
    <row r="335" spans="1:5">
      <c r="A335" s="69"/>
      <c r="B335" s="62"/>
      <c r="C335" s="27" t="s">
        <v>309</v>
      </c>
      <c r="D335" s="9">
        <v>478</v>
      </c>
      <c r="E335" s="1">
        <v>145</v>
      </c>
    </row>
    <row r="336" spans="1:5">
      <c r="A336" s="69"/>
      <c r="B336" s="62"/>
      <c r="C336" s="27" t="s">
        <v>216</v>
      </c>
      <c r="D336" s="9">
        <v>86</v>
      </c>
      <c r="E336" s="1">
        <v>25</v>
      </c>
    </row>
    <row r="337" spans="1:5">
      <c r="A337" s="69"/>
      <c r="B337" s="62"/>
      <c r="C337" s="27" t="s">
        <v>310</v>
      </c>
      <c r="D337" s="9">
        <v>202</v>
      </c>
      <c r="E337" s="1">
        <v>45</v>
      </c>
    </row>
    <row r="338" spans="1:5">
      <c r="A338" s="69"/>
      <c r="B338" s="62"/>
      <c r="C338" s="27" t="s">
        <v>311</v>
      </c>
      <c r="D338" s="9">
        <v>125</v>
      </c>
      <c r="E338" s="1">
        <v>55</v>
      </c>
    </row>
    <row r="339" spans="1:5">
      <c r="A339" s="69"/>
      <c r="B339" s="68" t="s">
        <v>6</v>
      </c>
      <c r="C339" s="68"/>
      <c r="D339" s="3">
        <f>SUM(D329:D338)</f>
        <v>4536</v>
      </c>
      <c r="E339" s="3">
        <f>SUM(E329:E338)</f>
        <v>990</v>
      </c>
    </row>
    <row r="340" spans="1:5" ht="18.75">
      <c r="A340" s="69">
        <v>37</v>
      </c>
      <c r="B340" s="69" t="s">
        <v>216</v>
      </c>
      <c r="C340" s="55" t="s">
        <v>312</v>
      </c>
      <c r="D340" s="9">
        <v>1670</v>
      </c>
      <c r="E340" s="11">
        <v>310</v>
      </c>
    </row>
    <row r="341" spans="1:5" ht="18.75">
      <c r="A341" s="69"/>
      <c r="B341" s="69"/>
      <c r="C341" s="55" t="s">
        <v>313</v>
      </c>
      <c r="D341" s="9">
        <v>410</v>
      </c>
      <c r="E341" s="11">
        <v>80</v>
      </c>
    </row>
    <row r="342" spans="1:5" ht="18.75">
      <c r="A342" s="69"/>
      <c r="B342" s="69"/>
      <c r="C342" s="55" t="s">
        <v>314</v>
      </c>
      <c r="D342" s="9">
        <v>275</v>
      </c>
      <c r="E342" s="11">
        <v>60</v>
      </c>
    </row>
    <row r="343" spans="1:5" ht="18.75">
      <c r="A343" s="69"/>
      <c r="B343" s="69"/>
      <c r="C343" s="55" t="s">
        <v>245</v>
      </c>
      <c r="D343" s="9">
        <v>255</v>
      </c>
      <c r="E343" s="11">
        <v>55</v>
      </c>
    </row>
    <row r="344" spans="1:5" ht="18.75">
      <c r="A344" s="69"/>
      <c r="B344" s="69"/>
      <c r="C344" s="55" t="s">
        <v>315</v>
      </c>
      <c r="D344" s="9">
        <v>263</v>
      </c>
      <c r="E344" s="11">
        <v>55</v>
      </c>
    </row>
    <row r="345" spans="1:5" ht="18.75">
      <c r="A345" s="69"/>
      <c r="B345" s="69"/>
      <c r="C345" s="55" t="s">
        <v>8</v>
      </c>
      <c r="D345" s="9">
        <v>178</v>
      </c>
      <c r="E345" s="11">
        <v>50</v>
      </c>
    </row>
    <row r="346" spans="1:5" ht="18.75">
      <c r="A346" s="69"/>
      <c r="B346" s="69"/>
      <c r="C346" s="55" t="s">
        <v>161</v>
      </c>
      <c r="D346" s="9">
        <v>220</v>
      </c>
      <c r="E346" s="11">
        <v>55</v>
      </c>
    </row>
    <row r="347" spans="1:5" ht="18.75">
      <c r="A347" s="69"/>
      <c r="B347" s="69"/>
      <c r="C347" s="55" t="s">
        <v>316</v>
      </c>
      <c r="D347" s="9">
        <v>1486</v>
      </c>
      <c r="E347" s="11">
        <v>280</v>
      </c>
    </row>
    <row r="348" spans="1:5" ht="18.75">
      <c r="A348" s="69"/>
      <c r="B348" s="69"/>
      <c r="C348" s="56" t="s">
        <v>317</v>
      </c>
      <c r="D348" s="9">
        <v>428</v>
      </c>
      <c r="E348" s="11">
        <v>50</v>
      </c>
    </row>
    <row r="349" spans="1:5" ht="18.75">
      <c r="A349" s="69"/>
      <c r="B349" s="69"/>
      <c r="C349" s="56" t="s">
        <v>113</v>
      </c>
      <c r="D349" s="9">
        <v>130</v>
      </c>
      <c r="E349" s="11">
        <v>15</v>
      </c>
    </row>
    <row r="350" spans="1:5">
      <c r="A350" s="69"/>
      <c r="B350" s="68" t="s">
        <v>6</v>
      </c>
      <c r="C350" s="68"/>
      <c r="D350" s="2">
        <f>SUM(D340:D349)</f>
        <v>5315</v>
      </c>
      <c r="E350" s="2">
        <f>SUM(E340:E349)</f>
        <v>1010</v>
      </c>
    </row>
    <row r="351" spans="1:5">
      <c r="A351" s="84">
        <v>38</v>
      </c>
      <c r="B351" s="85" t="s">
        <v>318</v>
      </c>
      <c r="C351" s="50" t="s">
        <v>319</v>
      </c>
      <c r="D351" s="21">
        <v>388</v>
      </c>
      <c r="E351" s="25">
        <v>72</v>
      </c>
    </row>
    <row r="352" spans="1:5">
      <c r="A352" s="84"/>
      <c r="B352" s="86"/>
      <c r="C352" s="50" t="s">
        <v>320</v>
      </c>
      <c r="D352" s="21">
        <v>533</v>
      </c>
      <c r="E352" s="25">
        <v>101</v>
      </c>
    </row>
    <row r="353" spans="1:5">
      <c r="A353" s="84"/>
      <c r="B353" s="86"/>
      <c r="C353" s="50" t="s">
        <v>321</v>
      </c>
      <c r="D353" s="21">
        <v>245</v>
      </c>
      <c r="E353" s="25">
        <v>38</v>
      </c>
    </row>
    <row r="354" spans="1:5">
      <c r="A354" s="84"/>
      <c r="B354" s="86"/>
      <c r="C354" s="50" t="s">
        <v>322</v>
      </c>
      <c r="D354" s="21">
        <v>128</v>
      </c>
      <c r="E354" s="25">
        <v>20</v>
      </c>
    </row>
    <row r="355" spans="1:5">
      <c r="A355" s="84"/>
      <c r="B355" s="86"/>
      <c r="C355" s="50" t="s">
        <v>323</v>
      </c>
      <c r="D355" s="21">
        <v>149</v>
      </c>
      <c r="E355" s="25">
        <v>24</v>
      </c>
    </row>
    <row r="356" spans="1:5">
      <c r="A356" s="84"/>
      <c r="B356" s="86"/>
      <c r="C356" s="50" t="s">
        <v>324</v>
      </c>
      <c r="D356" s="21">
        <v>945</v>
      </c>
      <c r="E356" s="25">
        <v>186</v>
      </c>
    </row>
    <row r="357" spans="1:5">
      <c r="A357" s="84"/>
      <c r="B357" s="86"/>
      <c r="C357" s="50" t="s">
        <v>325</v>
      </c>
      <c r="D357" s="21">
        <v>1190</v>
      </c>
      <c r="E357" s="25">
        <v>238</v>
      </c>
    </row>
    <row r="358" spans="1:5">
      <c r="A358" s="84"/>
      <c r="B358" s="86"/>
      <c r="C358" s="50" t="s">
        <v>326</v>
      </c>
      <c r="D358" s="21">
        <v>235</v>
      </c>
      <c r="E358" s="25">
        <v>41</v>
      </c>
    </row>
    <row r="359" spans="1:5">
      <c r="A359" s="84"/>
      <c r="B359" s="86"/>
      <c r="C359" s="50" t="s">
        <v>327</v>
      </c>
      <c r="D359" s="21">
        <v>95</v>
      </c>
      <c r="E359" s="25">
        <v>13</v>
      </c>
    </row>
    <row r="360" spans="1:5">
      <c r="A360" s="84"/>
      <c r="B360" s="86"/>
      <c r="C360" s="50" t="s">
        <v>328</v>
      </c>
      <c r="D360" s="21">
        <v>135</v>
      </c>
      <c r="E360" s="25">
        <v>22</v>
      </c>
    </row>
    <row r="361" spans="1:5">
      <c r="A361" s="84"/>
      <c r="B361" s="86"/>
      <c r="C361" s="50" t="s">
        <v>329</v>
      </c>
      <c r="D361" s="21">
        <v>152</v>
      </c>
      <c r="E361" s="25">
        <v>25</v>
      </c>
    </row>
    <row r="362" spans="1:5">
      <c r="A362" s="84"/>
      <c r="B362" s="86"/>
      <c r="C362" s="50" t="s">
        <v>330</v>
      </c>
      <c r="D362" s="21">
        <v>143</v>
      </c>
      <c r="E362" s="25">
        <v>23</v>
      </c>
    </row>
    <row r="363" spans="1:5">
      <c r="A363" s="84"/>
      <c r="B363" s="86"/>
      <c r="C363" s="50" t="s">
        <v>331</v>
      </c>
      <c r="D363" s="21">
        <v>302</v>
      </c>
      <c r="E363" s="25">
        <v>46</v>
      </c>
    </row>
    <row r="364" spans="1:5">
      <c r="A364" s="84"/>
      <c r="B364" s="86"/>
      <c r="C364" s="50" t="s">
        <v>332</v>
      </c>
      <c r="D364" s="21">
        <v>408</v>
      </c>
      <c r="E364" s="25">
        <v>76</v>
      </c>
    </row>
    <row r="365" spans="1:5">
      <c r="A365" s="84"/>
      <c r="B365" s="86"/>
      <c r="C365" s="50" t="s">
        <v>333</v>
      </c>
      <c r="D365" s="21">
        <v>92</v>
      </c>
      <c r="E365" s="25">
        <v>12</v>
      </c>
    </row>
    <row r="366" spans="1:5">
      <c r="A366" s="84"/>
      <c r="B366" s="114"/>
      <c r="C366" s="50" t="s">
        <v>334</v>
      </c>
      <c r="D366" s="21">
        <v>390</v>
      </c>
      <c r="E366" s="25">
        <v>78</v>
      </c>
    </row>
    <row r="367" spans="1:5">
      <c r="A367" s="84"/>
      <c r="B367" s="82" t="s">
        <v>6</v>
      </c>
      <c r="C367" s="83"/>
      <c r="D367" s="40">
        <f>SUM(D351:D366)</f>
        <v>5530</v>
      </c>
      <c r="E367" s="40">
        <f>SUM(E351:E366)</f>
        <v>1015</v>
      </c>
    </row>
    <row r="368" spans="1:5">
      <c r="A368" s="69">
        <v>39</v>
      </c>
      <c r="B368" s="61" t="s">
        <v>335</v>
      </c>
      <c r="C368" s="50" t="s">
        <v>336</v>
      </c>
      <c r="D368" s="21">
        <v>560</v>
      </c>
      <c r="E368" s="25">
        <v>102</v>
      </c>
    </row>
    <row r="369" spans="1:5" ht="15" customHeight="1">
      <c r="A369" s="69"/>
      <c r="B369" s="62"/>
      <c r="C369" s="50" t="s">
        <v>337</v>
      </c>
      <c r="D369" s="21">
        <v>815</v>
      </c>
      <c r="E369" s="25">
        <v>63</v>
      </c>
    </row>
    <row r="370" spans="1:5" ht="15.75" customHeight="1">
      <c r="A370" s="69"/>
      <c r="B370" s="62"/>
      <c r="C370" s="50" t="s">
        <v>338</v>
      </c>
      <c r="D370" s="21">
        <v>320</v>
      </c>
      <c r="E370" s="25">
        <v>122</v>
      </c>
    </row>
    <row r="371" spans="1:5">
      <c r="A371" s="69"/>
      <c r="B371" s="62"/>
      <c r="C371" s="50" t="s">
        <v>339</v>
      </c>
      <c r="D371" s="21">
        <v>620</v>
      </c>
      <c r="E371" s="25">
        <v>169</v>
      </c>
    </row>
    <row r="372" spans="1:5" ht="15" customHeight="1">
      <c r="A372" s="69"/>
      <c r="B372" s="62"/>
      <c r="C372" s="50" t="s">
        <v>340</v>
      </c>
      <c r="D372" s="21">
        <v>428</v>
      </c>
      <c r="E372" s="25">
        <v>70</v>
      </c>
    </row>
    <row r="373" spans="1:5" ht="15.75" customHeight="1">
      <c r="A373" s="69"/>
      <c r="B373" s="62"/>
      <c r="C373" s="50" t="s">
        <v>341</v>
      </c>
      <c r="D373" s="21">
        <v>250</v>
      </c>
      <c r="E373" s="25">
        <v>125</v>
      </c>
    </row>
    <row r="374" spans="1:5" ht="15" customHeight="1">
      <c r="A374" s="69"/>
      <c r="B374" s="62"/>
      <c r="C374" s="50" t="s">
        <v>342</v>
      </c>
      <c r="D374" s="21">
        <v>225</v>
      </c>
      <c r="E374" s="25">
        <v>89</v>
      </c>
    </row>
    <row r="375" spans="1:5" ht="15.75" customHeight="1">
      <c r="A375" s="69"/>
      <c r="B375" s="62"/>
      <c r="C375" s="50" t="s">
        <v>343</v>
      </c>
      <c r="D375" s="21">
        <v>232</v>
      </c>
      <c r="E375" s="25">
        <v>95</v>
      </c>
    </row>
    <row r="376" spans="1:5">
      <c r="A376" s="69"/>
      <c r="B376" s="62"/>
      <c r="C376" s="50" t="s">
        <v>344</v>
      </c>
      <c r="D376" s="21">
        <v>420</v>
      </c>
      <c r="E376" s="25">
        <v>102</v>
      </c>
    </row>
    <row r="377" spans="1:5">
      <c r="A377" s="69"/>
      <c r="B377" s="62"/>
      <c r="C377" s="50" t="s">
        <v>345</v>
      </c>
      <c r="D377" s="21">
        <v>552</v>
      </c>
      <c r="E377" s="25">
        <v>101</v>
      </c>
    </row>
    <row r="378" spans="1:5">
      <c r="A378" s="69"/>
      <c r="B378" s="68" t="s">
        <v>6</v>
      </c>
      <c r="C378" s="68"/>
      <c r="D378" s="2">
        <f>SUM(D368:D377)</f>
        <v>4422</v>
      </c>
      <c r="E378" s="2">
        <f>SUM(E368:E377)</f>
        <v>1038</v>
      </c>
    </row>
    <row r="379" spans="1:5" ht="15.75">
      <c r="A379" s="112">
        <v>40</v>
      </c>
      <c r="B379" s="113" t="s">
        <v>356</v>
      </c>
      <c r="C379" s="26" t="s">
        <v>84</v>
      </c>
      <c r="D379" s="13">
        <v>390</v>
      </c>
      <c r="E379" s="14">
        <v>73</v>
      </c>
    </row>
    <row r="380" spans="1:5" ht="15.75">
      <c r="A380" s="112"/>
      <c r="B380" s="112"/>
      <c r="C380" s="26" t="s">
        <v>346</v>
      </c>
      <c r="D380" s="13">
        <v>202</v>
      </c>
      <c r="E380" s="14">
        <v>40</v>
      </c>
    </row>
    <row r="381" spans="1:5" ht="15.75">
      <c r="A381" s="112"/>
      <c r="B381" s="112"/>
      <c r="C381" s="26" t="s">
        <v>347</v>
      </c>
      <c r="D381" s="13">
        <v>432</v>
      </c>
      <c r="E381" s="14">
        <v>79</v>
      </c>
    </row>
    <row r="382" spans="1:5" ht="15.75">
      <c r="A382" s="112"/>
      <c r="B382" s="112"/>
      <c r="C382" s="26" t="s">
        <v>348</v>
      </c>
      <c r="D382" s="13">
        <v>179</v>
      </c>
      <c r="E382" s="14">
        <v>34</v>
      </c>
    </row>
    <row r="383" spans="1:5" ht="15.75">
      <c r="A383" s="112"/>
      <c r="B383" s="112"/>
      <c r="C383" s="26" t="s">
        <v>349</v>
      </c>
      <c r="D383" s="13">
        <v>328</v>
      </c>
      <c r="E383" s="14">
        <v>59</v>
      </c>
    </row>
    <row r="384" spans="1:5" ht="15.75">
      <c r="A384" s="112"/>
      <c r="B384" s="112"/>
      <c r="C384" s="26" t="s">
        <v>350</v>
      </c>
      <c r="D384" s="13">
        <v>285</v>
      </c>
      <c r="E384" s="14">
        <v>54</v>
      </c>
    </row>
    <row r="385" spans="1:8" ht="15.75">
      <c r="A385" s="112"/>
      <c r="B385" s="112"/>
      <c r="C385" s="26" t="s">
        <v>351</v>
      </c>
      <c r="D385" s="13">
        <v>90</v>
      </c>
      <c r="E385" s="14">
        <v>16</v>
      </c>
    </row>
    <row r="386" spans="1:8" ht="15.75">
      <c r="A386" s="112"/>
      <c r="B386" s="112"/>
      <c r="C386" s="26" t="s">
        <v>352</v>
      </c>
      <c r="D386" s="13">
        <v>499</v>
      </c>
      <c r="E386" s="14">
        <v>106</v>
      </c>
      <c r="H386" s="12" t="s">
        <v>353</v>
      </c>
    </row>
    <row r="387" spans="1:8" ht="15.75">
      <c r="A387" s="112"/>
      <c r="B387" s="112"/>
      <c r="C387" s="26" t="s">
        <v>354</v>
      </c>
      <c r="D387" s="13">
        <v>245</v>
      </c>
      <c r="E387" s="14">
        <v>56</v>
      </c>
    </row>
    <row r="388" spans="1:8" ht="15.75">
      <c r="A388" s="112"/>
      <c r="B388" s="112"/>
      <c r="C388" s="26" t="s">
        <v>355</v>
      </c>
      <c r="D388" s="13">
        <v>545</v>
      </c>
      <c r="E388" s="14">
        <v>115</v>
      </c>
    </row>
    <row r="389" spans="1:8" ht="15.75">
      <c r="A389" s="112"/>
      <c r="B389" s="71" t="s">
        <v>6</v>
      </c>
      <c r="C389" s="71"/>
      <c r="D389" s="15">
        <f>SUM(D379:D388)</f>
        <v>3195</v>
      </c>
      <c r="E389" s="15">
        <f>SUM(E379:E388)</f>
        <v>632</v>
      </c>
    </row>
    <row r="390" spans="1:8" ht="15.75">
      <c r="A390" s="72">
        <v>41</v>
      </c>
      <c r="B390" s="69" t="s">
        <v>362</v>
      </c>
      <c r="C390" s="57" t="s">
        <v>357</v>
      </c>
      <c r="D390" s="35">
        <v>427</v>
      </c>
      <c r="E390" s="35">
        <v>82</v>
      </c>
    </row>
    <row r="391" spans="1:8" ht="15.75">
      <c r="A391" s="72"/>
      <c r="B391" s="69"/>
      <c r="C391" s="57" t="s">
        <v>358</v>
      </c>
      <c r="D391" s="35">
        <v>375</v>
      </c>
      <c r="E391" s="35">
        <v>78</v>
      </c>
    </row>
    <row r="392" spans="1:8" ht="15.75">
      <c r="A392" s="72"/>
      <c r="B392" s="69"/>
      <c r="C392" s="57" t="s">
        <v>359</v>
      </c>
      <c r="D392" s="35">
        <v>376</v>
      </c>
      <c r="E392" s="35">
        <v>74</v>
      </c>
    </row>
    <row r="393" spans="1:8" ht="15.75">
      <c r="A393" s="72"/>
      <c r="B393" s="69"/>
      <c r="C393" s="57" t="s">
        <v>360</v>
      </c>
      <c r="D393" s="35">
        <v>472</v>
      </c>
      <c r="E393" s="35">
        <v>92</v>
      </c>
    </row>
    <row r="394" spans="1:8" ht="15.75">
      <c r="A394" s="72"/>
      <c r="B394" s="69"/>
      <c r="C394" s="57" t="s">
        <v>361</v>
      </c>
      <c r="D394" s="35">
        <v>995</v>
      </c>
      <c r="E394" s="35">
        <v>194</v>
      </c>
    </row>
    <row r="395" spans="1:8" ht="15.75">
      <c r="A395" s="72"/>
      <c r="B395" s="71" t="s">
        <v>6</v>
      </c>
      <c r="C395" s="71"/>
      <c r="D395" s="15">
        <f>SUM(D390:D394)</f>
        <v>2645</v>
      </c>
      <c r="E395" s="15">
        <f>SUM(E390:E394)</f>
        <v>520</v>
      </c>
    </row>
    <row r="396" spans="1:8" ht="15.75">
      <c r="A396" s="73">
        <v>42</v>
      </c>
      <c r="B396" s="61" t="s">
        <v>368</v>
      </c>
      <c r="C396" s="57" t="s">
        <v>363</v>
      </c>
      <c r="D396" s="36">
        <v>476</v>
      </c>
      <c r="E396" s="35">
        <v>70</v>
      </c>
    </row>
    <row r="397" spans="1:8" ht="15.75">
      <c r="A397" s="74"/>
      <c r="B397" s="62"/>
      <c r="C397" s="57" t="s">
        <v>366</v>
      </c>
      <c r="D397" s="36">
        <v>1679</v>
      </c>
      <c r="E397" s="35">
        <v>257</v>
      </c>
    </row>
    <row r="398" spans="1:8" ht="15.75">
      <c r="A398" s="74"/>
      <c r="B398" s="62"/>
      <c r="C398" s="57" t="s">
        <v>364</v>
      </c>
      <c r="D398" s="36">
        <v>387</v>
      </c>
      <c r="E398" s="35">
        <v>57</v>
      </c>
    </row>
    <row r="399" spans="1:8" ht="15.75">
      <c r="A399" s="74"/>
      <c r="B399" s="62"/>
      <c r="C399" s="57" t="s">
        <v>75</v>
      </c>
      <c r="D399" s="36">
        <v>365</v>
      </c>
      <c r="E399" s="35">
        <v>66</v>
      </c>
    </row>
    <row r="400" spans="1:8" ht="15.75">
      <c r="A400" s="74"/>
      <c r="B400" s="62"/>
      <c r="C400" s="57" t="s">
        <v>367</v>
      </c>
      <c r="D400" s="36">
        <v>530</v>
      </c>
      <c r="E400" s="35">
        <v>102</v>
      </c>
    </row>
    <row r="401" spans="1:5" ht="15.75">
      <c r="A401" s="74"/>
      <c r="B401" s="63"/>
      <c r="C401" s="57" t="s">
        <v>365</v>
      </c>
      <c r="D401" s="36">
        <v>1654</v>
      </c>
      <c r="E401" s="35">
        <v>306</v>
      </c>
    </row>
    <row r="402" spans="1:5" ht="15.75">
      <c r="A402" s="75"/>
      <c r="B402" s="71" t="s">
        <v>6</v>
      </c>
      <c r="C402" s="71"/>
      <c r="D402" s="15">
        <f>SUM(D396:D401)</f>
        <v>5091</v>
      </c>
      <c r="E402" s="15">
        <f>SUM(E396:E401)</f>
        <v>858</v>
      </c>
    </row>
    <row r="403" spans="1:5">
      <c r="A403" s="69">
        <v>43</v>
      </c>
      <c r="B403" s="61" t="s">
        <v>372</v>
      </c>
      <c r="C403" s="27" t="s">
        <v>369</v>
      </c>
      <c r="D403" s="9">
        <v>3100</v>
      </c>
      <c r="E403" s="1">
        <v>635</v>
      </c>
    </row>
    <row r="404" spans="1:5">
      <c r="A404" s="69"/>
      <c r="B404" s="62"/>
      <c r="C404" s="27" t="s">
        <v>45</v>
      </c>
      <c r="D404" s="9">
        <v>90</v>
      </c>
      <c r="E404" s="1">
        <v>18</v>
      </c>
    </row>
    <row r="405" spans="1:5">
      <c r="A405" s="69"/>
      <c r="B405" s="62"/>
      <c r="C405" s="27" t="s">
        <v>370</v>
      </c>
      <c r="D405" s="9">
        <v>542</v>
      </c>
      <c r="E405" s="1">
        <v>110</v>
      </c>
    </row>
    <row r="406" spans="1:5">
      <c r="A406" s="69"/>
      <c r="B406" s="62"/>
      <c r="C406" s="27" t="s">
        <v>161</v>
      </c>
      <c r="D406" s="9">
        <v>850</v>
      </c>
      <c r="E406" s="1">
        <v>178</v>
      </c>
    </row>
    <row r="407" spans="1:5">
      <c r="A407" s="69"/>
      <c r="B407" s="62"/>
      <c r="C407" s="27" t="s">
        <v>371</v>
      </c>
      <c r="D407" s="9">
        <v>368</v>
      </c>
      <c r="E407" s="1">
        <v>75</v>
      </c>
    </row>
    <row r="408" spans="1:5">
      <c r="A408" s="69"/>
      <c r="B408" s="68" t="s">
        <v>6</v>
      </c>
      <c r="C408" s="68"/>
      <c r="D408" s="3">
        <f>SUM(D403:D407)</f>
        <v>4950</v>
      </c>
      <c r="E408" s="3">
        <f>SUM(E403:E407)</f>
        <v>1016</v>
      </c>
    </row>
    <row r="409" spans="1:5">
      <c r="A409" s="69">
        <v>44</v>
      </c>
      <c r="B409" s="61" t="s">
        <v>373</v>
      </c>
      <c r="C409" s="27" t="s">
        <v>8</v>
      </c>
      <c r="D409" s="9">
        <v>1140</v>
      </c>
      <c r="E409" s="1">
        <v>100</v>
      </c>
    </row>
    <row r="410" spans="1:5">
      <c r="A410" s="69"/>
      <c r="B410" s="62"/>
      <c r="C410" s="27" t="s">
        <v>374</v>
      </c>
      <c r="D410" s="9">
        <v>382</v>
      </c>
      <c r="E410" s="1">
        <v>42</v>
      </c>
    </row>
    <row r="411" spans="1:5">
      <c r="A411" s="69"/>
      <c r="B411" s="62"/>
      <c r="C411" s="27" t="s">
        <v>375</v>
      </c>
      <c r="D411" s="9">
        <v>210</v>
      </c>
      <c r="E411" s="1">
        <v>53</v>
      </c>
    </row>
    <row r="412" spans="1:5">
      <c r="A412" s="69"/>
      <c r="B412" s="62"/>
      <c r="C412" s="27" t="s">
        <v>376</v>
      </c>
      <c r="D412" s="9">
        <v>192</v>
      </c>
      <c r="E412" s="1">
        <v>32</v>
      </c>
    </row>
    <row r="413" spans="1:5">
      <c r="A413" s="69"/>
      <c r="B413" s="62"/>
      <c r="C413" s="27" t="s">
        <v>377</v>
      </c>
      <c r="D413" s="9">
        <v>490</v>
      </c>
      <c r="E413" s="1">
        <v>71</v>
      </c>
    </row>
    <row r="414" spans="1:5">
      <c r="A414" s="69"/>
      <c r="B414" s="62"/>
      <c r="C414" s="27" t="s">
        <v>378</v>
      </c>
      <c r="D414" s="9">
        <v>186</v>
      </c>
      <c r="E414" s="1">
        <v>33</v>
      </c>
    </row>
    <row r="415" spans="1:5">
      <c r="A415" s="69"/>
      <c r="B415" s="62"/>
      <c r="C415" s="27" t="s">
        <v>379</v>
      </c>
      <c r="D415" s="9">
        <v>140</v>
      </c>
      <c r="E415" s="1">
        <v>51</v>
      </c>
    </row>
    <row r="416" spans="1:5">
      <c r="A416" s="69"/>
      <c r="B416" s="62"/>
      <c r="C416" s="27" t="s">
        <v>380</v>
      </c>
      <c r="D416" s="9">
        <v>1010</v>
      </c>
      <c r="E416" s="1">
        <v>109</v>
      </c>
    </row>
    <row r="417" spans="1:5">
      <c r="A417" s="69"/>
      <c r="B417" s="62"/>
      <c r="C417" s="27" t="s">
        <v>381</v>
      </c>
      <c r="D417" s="9">
        <v>542</v>
      </c>
      <c r="E417" s="1">
        <v>88</v>
      </c>
    </row>
    <row r="418" spans="1:5">
      <c r="A418" s="69"/>
      <c r="B418" s="62"/>
      <c r="C418" s="27" t="s">
        <v>105</v>
      </c>
      <c r="D418" s="9">
        <v>210</v>
      </c>
      <c r="E418" s="1">
        <v>31</v>
      </c>
    </row>
    <row r="419" spans="1:5">
      <c r="A419" s="61"/>
      <c r="B419" s="70" t="s">
        <v>6</v>
      </c>
      <c r="C419" s="70"/>
      <c r="D419" s="43">
        <v>4502</v>
      </c>
      <c r="E419" s="43">
        <f>SUM(E409:E418)</f>
        <v>610</v>
      </c>
    </row>
    <row r="420" spans="1:5">
      <c r="A420" s="69">
        <v>45</v>
      </c>
      <c r="B420" s="69" t="s">
        <v>392</v>
      </c>
      <c r="C420" s="58" t="s">
        <v>383</v>
      </c>
      <c r="D420" s="44">
        <v>230</v>
      </c>
      <c r="E420" s="44">
        <v>45</v>
      </c>
    </row>
    <row r="421" spans="1:5">
      <c r="A421" s="69"/>
      <c r="B421" s="69"/>
      <c r="C421" s="58" t="s">
        <v>384</v>
      </c>
      <c r="D421" s="44">
        <v>125</v>
      </c>
      <c r="E421" s="44">
        <v>19</v>
      </c>
    </row>
    <row r="422" spans="1:5">
      <c r="A422" s="69"/>
      <c r="B422" s="69"/>
      <c r="C422" s="58" t="s">
        <v>112</v>
      </c>
      <c r="D422" s="44">
        <v>295</v>
      </c>
      <c r="E422" s="44">
        <v>51</v>
      </c>
    </row>
    <row r="423" spans="1:5">
      <c r="A423" s="69"/>
      <c r="B423" s="69"/>
      <c r="C423" s="58" t="s">
        <v>385</v>
      </c>
      <c r="D423" s="44">
        <v>185</v>
      </c>
      <c r="E423" s="44">
        <v>47</v>
      </c>
    </row>
    <row r="424" spans="1:5">
      <c r="A424" s="69"/>
      <c r="B424" s="69"/>
      <c r="C424" s="58" t="s">
        <v>386</v>
      </c>
      <c r="D424" s="44">
        <v>163</v>
      </c>
      <c r="E424" s="44">
        <v>23</v>
      </c>
    </row>
    <row r="425" spans="1:5">
      <c r="A425" s="69"/>
      <c r="B425" s="69"/>
      <c r="C425" s="58" t="s">
        <v>387</v>
      </c>
      <c r="D425" s="44">
        <v>281</v>
      </c>
      <c r="E425" s="44">
        <v>65</v>
      </c>
    </row>
    <row r="426" spans="1:5">
      <c r="A426" s="69"/>
      <c r="B426" s="69"/>
      <c r="C426" s="58" t="s">
        <v>388</v>
      </c>
      <c r="D426" s="44">
        <v>491</v>
      </c>
      <c r="E426" s="44">
        <v>98</v>
      </c>
    </row>
    <row r="427" spans="1:5">
      <c r="A427" s="69"/>
      <c r="B427" s="69"/>
      <c r="C427" s="58" t="s">
        <v>389</v>
      </c>
      <c r="D427" s="44">
        <v>272</v>
      </c>
      <c r="E427" s="44">
        <v>49</v>
      </c>
    </row>
    <row r="428" spans="1:5">
      <c r="A428" s="69"/>
      <c r="B428" s="69"/>
      <c r="C428" s="58" t="s">
        <v>390</v>
      </c>
      <c r="D428" s="44">
        <v>191</v>
      </c>
      <c r="E428" s="44">
        <v>44</v>
      </c>
    </row>
    <row r="429" spans="1:5">
      <c r="A429" s="69"/>
      <c r="B429" s="69"/>
      <c r="C429" s="58" t="s">
        <v>174</v>
      </c>
      <c r="D429" s="44">
        <v>169</v>
      </c>
      <c r="E429" s="44">
        <v>42</v>
      </c>
    </row>
    <row r="430" spans="1:5">
      <c r="A430" s="69"/>
      <c r="B430" s="69"/>
      <c r="C430" s="58" t="s">
        <v>274</v>
      </c>
      <c r="D430" s="44">
        <v>365</v>
      </c>
      <c r="E430" s="44">
        <v>106</v>
      </c>
    </row>
    <row r="431" spans="1:5">
      <c r="A431" s="69"/>
      <c r="B431" s="69"/>
      <c r="C431" s="58" t="s">
        <v>391</v>
      </c>
      <c r="D431" s="44">
        <v>93</v>
      </c>
      <c r="E431" s="44">
        <v>26</v>
      </c>
    </row>
    <row r="432" spans="1:5">
      <c r="A432" s="69"/>
      <c r="B432" s="69"/>
      <c r="C432" s="58" t="s">
        <v>212</v>
      </c>
      <c r="D432" s="44">
        <v>187</v>
      </c>
      <c r="E432" s="44">
        <v>37</v>
      </c>
    </row>
    <row r="433" spans="1:5">
      <c r="A433" s="69"/>
      <c r="B433" s="69"/>
      <c r="C433" s="58" t="s">
        <v>26</v>
      </c>
      <c r="D433" s="44">
        <v>131</v>
      </c>
      <c r="E433" s="44">
        <v>163</v>
      </c>
    </row>
    <row r="434" spans="1:5">
      <c r="A434" s="69"/>
      <c r="B434" s="68" t="s">
        <v>6</v>
      </c>
      <c r="C434" s="68"/>
      <c r="D434" s="2">
        <f>SUM(D420:D433)</f>
        <v>3178</v>
      </c>
      <c r="E434" s="2">
        <f>SUM(E420:E433)</f>
        <v>815</v>
      </c>
    </row>
    <row r="435" spans="1:5" ht="15.75">
      <c r="A435" s="61">
        <v>46</v>
      </c>
      <c r="B435" s="69" t="s">
        <v>397</v>
      </c>
      <c r="C435" s="57" t="s">
        <v>393</v>
      </c>
      <c r="D435" s="36">
        <f>+E435*5</f>
        <v>605</v>
      </c>
      <c r="E435" s="17">
        <v>121</v>
      </c>
    </row>
    <row r="436" spans="1:5" ht="15.75">
      <c r="A436" s="62"/>
      <c r="B436" s="69"/>
      <c r="C436" s="57" t="s">
        <v>357</v>
      </c>
      <c r="D436" s="36">
        <f t="shared" ref="D436" si="0">+E436*5</f>
        <v>455</v>
      </c>
      <c r="E436" s="17">
        <v>91</v>
      </c>
    </row>
    <row r="437" spans="1:5" ht="15.75">
      <c r="A437" s="62"/>
      <c r="B437" s="69"/>
      <c r="C437" s="57" t="s">
        <v>394</v>
      </c>
      <c r="D437" s="36">
        <v>451</v>
      </c>
      <c r="E437" s="17">
        <v>75</v>
      </c>
    </row>
    <row r="438" spans="1:5" ht="15.75">
      <c r="A438" s="62"/>
      <c r="B438" s="69"/>
      <c r="C438" s="57" t="s">
        <v>398</v>
      </c>
      <c r="D438" s="36">
        <f>+E438*6</f>
        <v>1170</v>
      </c>
      <c r="E438" s="17">
        <v>195</v>
      </c>
    </row>
    <row r="439" spans="1:5" ht="15.75">
      <c r="A439" s="62"/>
      <c r="B439" s="69"/>
      <c r="C439" s="57" t="s">
        <v>395</v>
      </c>
      <c r="D439" s="36">
        <f>+E439*6</f>
        <v>408</v>
      </c>
      <c r="E439" s="17">
        <v>68</v>
      </c>
    </row>
    <row r="440" spans="1:5" ht="15.75">
      <c r="A440" s="62"/>
      <c r="B440" s="69"/>
      <c r="C440" s="57" t="s">
        <v>396</v>
      </c>
      <c r="D440" s="36">
        <f>+E440*6</f>
        <v>480</v>
      </c>
      <c r="E440" s="17">
        <v>80</v>
      </c>
    </row>
    <row r="441" spans="1:5">
      <c r="A441" s="63"/>
      <c r="B441" s="68" t="s">
        <v>6</v>
      </c>
      <c r="C441" s="68"/>
      <c r="D441" s="2">
        <f>SUM(D435:D440)</f>
        <v>3569</v>
      </c>
      <c r="E441" s="2">
        <f>SUM(E435:E440)</f>
        <v>630</v>
      </c>
    </row>
    <row r="442" spans="1:5">
      <c r="A442" s="69">
        <v>47</v>
      </c>
      <c r="B442" s="69" t="s">
        <v>411</v>
      </c>
      <c r="C442" s="59" t="s">
        <v>399</v>
      </c>
      <c r="D442" s="36">
        <v>1205</v>
      </c>
      <c r="E442" s="36">
        <v>207</v>
      </c>
    </row>
    <row r="443" spans="1:5">
      <c r="A443" s="69"/>
      <c r="B443" s="69"/>
      <c r="C443" s="59" t="s">
        <v>400</v>
      </c>
      <c r="D443" s="36">
        <v>510</v>
      </c>
      <c r="E443" s="36">
        <v>100</v>
      </c>
    </row>
    <row r="444" spans="1:5">
      <c r="A444" s="69"/>
      <c r="B444" s="69"/>
      <c r="C444" s="59" t="s">
        <v>402</v>
      </c>
      <c r="D444" s="36">
        <v>430</v>
      </c>
      <c r="E444" s="36">
        <v>81</v>
      </c>
    </row>
    <row r="445" spans="1:5">
      <c r="A445" s="69"/>
      <c r="B445" s="69"/>
      <c r="C445" s="59" t="s">
        <v>401</v>
      </c>
      <c r="D445" s="36">
        <v>426</v>
      </c>
      <c r="E445" s="36">
        <v>74</v>
      </c>
    </row>
    <row r="446" spans="1:5">
      <c r="A446" s="69"/>
      <c r="B446" s="69"/>
      <c r="C446" s="59" t="s">
        <v>8</v>
      </c>
      <c r="D446" s="36">
        <v>501</v>
      </c>
      <c r="E446" s="36">
        <v>99</v>
      </c>
    </row>
    <row r="447" spans="1:5">
      <c r="A447" s="69"/>
      <c r="B447" s="69"/>
      <c r="C447" s="59" t="s">
        <v>403</v>
      </c>
      <c r="D447" s="36">
        <v>529</v>
      </c>
      <c r="E447" s="36">
        <v>99</v>
      </c>
    </row>
    <row r="448" spans="1:5">
      <c r="A448" s="69"/>
      <c r="B448" s="68" t="s">
        <v>6</v>
      </c>
      <c r="C448" s="68"/>
      <c r="D448" s="2">
        <f>SUM(D442:D447)</f>
        <v>3601</v>
      </c>
      <c r="E448" s="2">
        <f>SUM(E442:E447)</f>
        <v>660</v>
      </c>
    </row>
    <row r="449" spans="1:5" ht="15.75">
      <c r="A449" s="61">
        <v>48</v>
      </c>
      <c r="B449" s="69" t="s">
        <v>410</v>
      </c>
      <c r="C449" s="57" t="s">
        <v>404</v>
      </c>
      <c r="D449" s="36">
        <f>+E449*5</f>
        <v>870</v>
      </c>
      <c r="E449" s="17">
        <v>174</v>
      </c>
    </row>
    <row r="450" spans="1:5" ht="15.75">
      <c r="A450" s="62"/>
      <c r="B450" s="69"/>
      <c r="C450" s="57" t="s">
        <v>405</v>
      </c>
      <c r="D450" s="36">
        <f>+E450*5</f>
        <v>750</v>
      </c>
      <c r="E450" s="17">
        <v>150</v>
      </c>
    </row>
    <row r="451" spans="1:5" ht="15.75">
      <c r="A451" s="62"/>
      <c r="B451" s="69"/>
      <c r="C451" s="57" t="s">
        <v>406</v>
      </c>
      <c r="D451" s="36">
        <f t="shared" ref="D451:D455" si="1">+E451*6</f>
        <v>636</v>
      </c>
      <c r="E451" s="17">
        <v>106</v>
      </c>
    </row>
    <row r="452" spans="1:5" ht="15.75">
      <c r="A452" s="62"/>
      <c r="B452" s="69"/>
      <c r="C452" s="57" t="s">
        <v>394</v>
      </c>
      <c r="D452" s="36">
        <f t="shared" si="1"/>
        <v>588</v>
      </c>
      <c r="E452" s="17">
        <v>98</v>
      </c>
    </row>
    <row r="453" spans="1:5" ht="15.75">
      <c r="A453" s="62"/>
      <c r="B453" s="69"/>
      <c r="C453" s="57" t="s">
        <v>407</v>
      </c>
      <c r="D453" s="36">
        <f t="shared" si="1"/>
        <v>528</v>
      </c>
      <c r="E453" s="17">
        <v>88</v>
      </c>
    </row>
    <row r="454" spans="1:5" ht="15.75">
      <c r="A454" s="62"/>
      <c r="B454" s="69"/>
      <c r="C454" s="57" t="s">
        <v>408</v>
      </c>
      <c r="D454" s="36">
        <v>196</v>
      </c>
      <c r="E454" s="17">
        <v>37</v>
      </c>
    </row>
    <row r="455" spans="1:5" ht="15.75">
      <c r="A455" s="62"/>
      <c r="B455" s="69"/>
      <c r="C455" s="57" t="s">
        <v>409</v>
      </c>
      <c r="D455" s="36">
        <f t="shared" si="1"/>
        <v>342</v>
      </c>
      <c r="E455" s="17">
        <v>57</v>
      </c>
    </row>
    <row r="456" spans="1:5">
      <c r="A456" s="63"/>
      <c r="B456" s="68" t="s">
        <v>6</v>
      </c>
      <c r="C456" s="68"/>
      <c r="D456" s="2">
        <f>SUM(D449:D455)</f>
        <v>3910</v>
      </c>
      <c r="E456" s="2">
        <f>SUM(E449:E455)</f>
        <v>710</v>
      </c>
    </row>
    <row r="457" spans="1:5" ht="15.75">
      <c r="A457" s="61">
        <v>49</v>
      </c>
      <c r="B457" s="69" t="s">
        <v>431</v>
      </c>
      <c r="C457" s="57" t="s">
        <v>412</v>
      </c>
      <c r="D457" s="36">
        <f>+E457*4</f>
        <v>512</v>
      </c>
      <c r="E457" s="17">
        <v>128</v>
      </c>
    </row>
    <row r="458" spans="1:5" ht="15.75">
      <c r="A458" s="62"/>
      <c r="B458" s="69"/>
      <c r="C458" s="57" t="s">
        <v>413</v>
      </c>
      <c r="D458" s="36">
        <f t="shared" ref="D458:D475" si="2">+E458*4</f>
        <v>488</v>
      </c>
      <c r="E458" s="17">
        <v>122</v>
      </c>
    </row>
    <row r="459" spans="1:5" ht="15.75">
      <c r="A459" s="62"/>
      <c r="B459" s="69"/>
      <c r="C459" s="57" t="s">
        <v>414</v>
      </c>
      <c r="D459" s="36">
        <f t="shared" si="2"/>
        <v>168</v>
      </c>
      <c r="E459" s="17">
        <v>42</v>
      </c>
    </row>
    <row r="460" spans="1:5" ht="15.75">
      <c r="A460" s="62"/>
      <c r="B460" s="69"/>
      <c r="C460" s="57" t="s">
        <v>415</v>
      </c>
      <c r="D460" s="36">
        <f t="shared" si="2"/>
        <v>168</v>
      </c>
      <c r="E460" s="17">
        <v>42</v>
      </c>
    </row>
    <row r="461" spans="1:5" ht="15.75">
      <c r="A461" s="62"/>
      <c r="B461" s="69"/>
      <c r="C461" s="57" t="s">
        <v>416</v>
      </c>
      <c r="D461" s="36">
        <f t="shared" si="2"/>
        <v>164</v>
      </c>
      <c r="E461" s="17">
        <v>41</v>
      </c>
    </row>
    <row r="462" spans="1:5" ht="15.75">
      <c r="A462" s="62"/>
      <c r="B462" s="69"/>
      <c r="C462" s="57" t="s">
        <v>417</v>
      </c>
      <c r="D462" s="36">
        <f t="shared" si="2"/>
        <v>184</v>
      </c>
      <c r="E462" s="17">
        <v>46</v>
      </c>
    </row>
    <row r="463" spans="1:5" ht="15.75">
      <c r="A463" s="62"/>
      <c r="B463" s="69"/>
      <c r="C463" s="57" t="s">
        <v>418</v>
      </c>
      <c r="D463" s="36">
        <f t="shared" si="2"/>
        <v>100</v>
      </c>
      <c r="E463" s="17">
        <v>25</v>
      </c>
    </row>
    <row r="464" spans="1:5" ht="15.75">
      <c r="A464" s="62"/>
      <c r="B464" s="69"/>
      <c r="C464" s="57" t="s">
        <v>419</v>
      </c>
      <c r="D464" s="36">
        <v>65</v>
      </c>
      <c r="E464" s="17">
        <v>9</v>
      </c>
    </row>
    <row r="465" spans="1:5" ht="15.75">
      <c r="A465" s="62"/>
      <c r="B465" s="69"/>
      <c r="C465" s="57" t="s">
        <v>420</v>
      </c>
      <c r="D465" s="36">
        <v>68</v>
      </c>
      <c r="E465" s="17">
        <v>9</v>
      </c>
    </row>
    <row r="466" spans="1:5" ht="15.75">
      <c r="A466" s="62"/>
      <c r="B466" s="69"/>
      <c r="C466" s="57" t="s">
        <v>421</v>
      </c>
      <c r="D466" s="36">
        <v>157</v>
      </c>
      <c r="E466" s="17">
        <v>40</v>
      </c>
    </row>
    <row r="467" spans="1:5" ht="15.75">
      <c r="A467" s="62"/>
      <c r="B467" s="69"/>
      <c r="C467" s="57" t="s">
        <v>422</v>
      </c>
      <c r="D467" s="36">
        <f t="shared" si="2"/>
        <v>96</v>
      </c>
      <c r="E467" s="17">
        <v>24</v>
      </c>
    </row>
    <row r="468" spans="1:5" ht="15.75">
      <c r="A468" s="62"/>
      <c r="B468" s="69"/>
      <c r="C468" s="57" t="s">
        <v>423</v>
      </c>
      <c r="D468" s="36">
        <v>102</v>
      </c>
      <c r="E468" s="17">
        <v>18</v>
      </c>
    </row>
    <row r="469" spans="1:5" ht="15.75">
      <c r="A469" s="62"/>
      <c r="B469" s="69"/>
      <c r="C469" s="57" t="s">
        <v>424</v>
      </c>
      <c r="D469" s="36">
        <v>122</v>
      </c>
      <c r="E469" s="17">
        <v>18</v>
      </c>
    </row>
    <row r="470" spans="1:5" ht="15.75">
      <c r="A470" s="62"/>
      <c r="B470" s="69"/>
      <c r="C470" s="57" t="s">
        <v>425</v>
      </c>
      <c r="D470" s="36">
        <f t="shared" si="2"/>
        <v>76</v>
      </c>
      <c r="E470" s="17">
        <v>19</v>
      </c>
    </row>
    <row r="471" spans="1:5" ht="15.75">
      <c r="A471" s="62"/>
      <c r="B471" s="69"/>
      <c r="C471" s="57" t="s">
        <v>426</v>
      </c>
      <c r="D471" s="36">
        <f t="shared" si="2"/>
        <v>328</v>
      </c>
      <c r="E471" s="17">
        <v>82</v>
      </c>
    </row>
    <row r="472" spans="1:5" ht="15.75">
      <c r="A472" s="62"/>
      <c r="B472" s="69"/>
      <c r="C472" s="57" t="s">
        <v>427</v>
      </c>
      <c r="D472" s="36">
        <f t="shared" si="2"/>
        <v>268</v>
      </c>
      <c r="E472" s="17">
        <v>67</v>
      </c>
    </row>
    <row r="473" spans="1:5" ht="15.75">
      <c r="A473" s="62"/>
      <c r="B473" s="69"/>
      <c r="C473" s="57" t="s">
        <v>428</v>
      </c>
      <c r="D473" s="36">
        <f t="shared" si="2"/>
        <v>756</v>
      </c>
      <c r="E473" s="17">
        <v>189</v>
      </c>
    </row>
    <row r="474" spans="1:5" ht="15.75">
      <c r="A474" s="62"/>
      <c r="B474" s="69"/>
      <c r="C474" s="57" t="s">
        <v>429</v>
      </c>
      <c r="D474" s="36">
        <v>98</v>
      </c>
      <c r="E474" s="17">
        <v>20</v>
      </c>
    </row>
    <row r="475" spans="1:5" ht="15.75">
      <c r="A475" s="62"/>
      <c r="B475" s="69"/>
      <c r="C475" s="57" t="s">
        <v>430</v>
      </c>
      <c r="D475" s="36">
        <f t="shared" si="2"/>
        <v>276</v>
      </c>
      <c r="E475" s="17">
        <v>69</v>
      </c>
    </row>
    <row r="476" spans="1:5">
      <c r="A476" s="63"/>
      <c r="B476" s="68" t="s">
        <v>6</v>
      </c>
      <c r="C476" s="68"/>
      <c r="D476" s="2">
        <f>SUM(D457:D475)</f>
        <v>4196</v>
      </c>
      <c r="E476" s="2">
        <f>SUM(E457:E475)</f>
        <v>1010</v>
      </c>
    </row>
    <row r="477" spans="1:5" ht="15.75">
      <c r="A477" s="69">
        <v>50</v>
      </c>
      <c r="B477" s="69" t="s">
        <v>452</v>
      </c>
      <c r="C477" s="57" t="s">
        <v>432</v>
      </c>
      <c r="D477" s="36">
        <f>+E477*5</f>
        <v>235</v>
      </c>
      <c r="E477" s="17">
        <v>47</v>
      </c>
    </row>
    <row r="478" spans="1:5" ht="15.75">
      <c r="A478" s="69"/>
      <c r="B478" s="69"/>
      <c r="C478" s="57" t="s">
        <v>433</v>
      </c>
      <c r="D478" s="36">
        <f t="shared" ref="D478:D485" si="3">+E478*5</f>
        <v>385</v>
      </c>
      <c r="E478" s="17">
        <v>77</v>
      </c>
    </row>
    <row r="479" spans="1:5" ht="15.75">
      <c r="A479" s="69"/>
      <c r="B479" s="69"/>
      <c r="C479" s="57" t="s">
        <v>434</v>
      </c>
      <c r="D479" s="36">
        <f t="shared" si="3"/>
        <v>165</v>
      </c>
      <c r="E479" s="17">
        <v>33</v>
      </c>
    </row>
    <row r="480" spans="1:5" ht="15.75">
      <c r="A480" s="69"/>
      <c r="B480" s="69"/>
      <c r="C480" s="57" t="s">
        <v>435</v>
      </c>
      <c r="D480" s="36">
        <f t="shared" si="3"/>
        <v>135</v>
      </c>
      <c r="E480" s="17">
        <v>27</v>
      </c>
    </row>
    <row r="481" spans="1:5" ht="15.75">
      <c r="A481" s="69"/>
      <c r="B481" s="69"/>
      <c r="C481" s="57" t="s">
        <v>436</v>
      </c>
      <c r="D481" s="36">
        <f t="shared" si="3"/>
        <v>210</v>
      </c>
      <c r="E481" s="17">
        <v>42</v>
      </c>
    </row>
    <row r="482" spans="1:5" ht="15.75">
      <c r="A482" s="69"/>
      <c r="B482" s="69"/>
      <c r="C482" s="57" t="s">
        <v>437</v>
      </c>
      <c r="D482" s="36">
        <f t="shared" si="3"/>
        <v>205</v>
      </c>
      <c r="E482" s="17">
        <v>41</v>
      </c>
    </row>
    <row r="483" spans="1:5" ht="15.75">
      <c r="A483" s="69"/>
      <c r="B483" s="69"/>
      <c r="C483" s="57" t="s">
        <v>438</v>
      </c>
      <c r="D483" s="36">
        <f t="shared" si="3"/>
        <v>180</v>
      </c>
      <c r="E483" s="17">
        <v>36</v>
      </c>
    </row>
    <row r="484" spans="1:5" ht="15.75">
      <c r="A484" s="69"/>
      <c r="B484" s="69"/>
      <c r="C484" s="57" t="s">
        <v>439</v>
      </c>
      <c r="D484" s="36">
        <f t="shared" si="3"/>
        <v>230</v>
      </c>
      <c r="E484" s="17">
        <v>46</v>
      </c>
    </row>
    <row r="485" spans="1:5" ht="15.75">
      <c r="A485" s="69"/>
      <c r="B485" s="69"/>
      <c r="C485" s="57" t="s">
        <v>440</v>
      </c>
      <c r="D485" s="36">
        <f t="shared" si="3"/>
        <v>260</v>
      </c>
      <c r="E485" s="17">
        <v>52</v>
      </c>
    </row>
    <row r="486" spans="1:5" ht="15.75">
      <c r="A486" s="69"/>
      <c r="B486" s="69"/>
      <c r="C486" s="57" t="s">
        <v>441</v>
      </c>
      <c r="D486" s="36">
        <f>+E486*5</f>
        <v>175</v>
      </c>
      <c r="E486" s="17">
        <v>35</v>
      </c>
    </row>
    <row r="487" spans="1:5" ht="15.75">
      <c r="A487" s="69"/>
      <c r="B487" s="69"/>
      <c r="C487" s="57" t="s">
        <v>442</v>
      </c>
      <c r="D487" s="36">
        <v>188</v>
      </c>
      <c r="E487" s="17">
        <v>28</v>
      </c>
    </row>
    <row r="488" spans="1:5" ht="15.75">
      <c r="A488" s="69"/>
      <c r="B488" s="69"/>
      <c r="C488" s="57" t="s">
        <v>443</v>
      </c>
      <c r="D488" s="36">
        <f t="shared" ref="D488:D496" si="4">+E488*6</f>
        <v>264</v>
      </c>
      <c r="E488" s="17">
        <v>44</v>
      </c>
    </row>
    <row r="489" spans="1:5" ht="15.75">
      <c r="A489" s="69"/>
      <c r="B489" s="69"/>
      <c r="C489" s="57" t="s">
        <v>444</v>
      </c>
      <c r="D489" s="36">
        <f t="shared" si="4"/>
        <v>252</v>
      </c>
      <c r="E489" s="17">
        <v>42</v>
      </c>
    </row>
    <row r="490" spans="1:5" ht="15.75">
      <c r="A490" s="69"/>
      <c r="B490" s="69"/>
      <c r="C490" s="57" t="s">
        <v>445</v>
      </c>
      <c r="D490" s="36">
        <f t="shared" si="4"/>
        <v>204</v>
      </c>
      <c r="E490" s="17">
        <v>34</v>
      </c>
    </row>
    <row r="491" spans="1:5" ht="31.5">
      <c r="A491" s="69"/>
      <c r="B491" s="69"/>
      <c r="C491" s="57" t="s">
        <v>446</v>
      </c>
      <c r="D491" s="36">
        <v>145</v>
      </c>
      <c r="E491" s="17">
        <v>26</v>
      </c>
    </row>
    <row r="492" spans="1:5" ht="15.75">
      <c r="A492" s="69"/>
      <c r="B492" s="69"/>
      <c r="C492" s="57" t="s">
        <v>447</v>
      </c>
      <c r="D492" s="36">
        <v>315</v>
      </c>
      <c r="E492" s="17">
        <v>52</v>
      </c>
    </row>
    <row r="493" spans="1:5" ht="31.5">
      <c r="A493" s="69"/>
      <c r="B493" s="69"/>
      <c r="C493" s="57" t="s">
        <v>448</v>
      </c>
      <c r="D493" s="36">
        <f t="shared" si="4"/>
        <v>258</v>
      </c>
      <c r="E493" s="17">
        <v>43</v>
      </c>
    </row>
    <row r="494" spans="1:5" ht="15.75">
      <c r="A494" s="69"/>
      <c r="B494" s="69"/>
      <c r="C494" s="57" t="s">
        <v>449</v>
      </c>
      <c r="D494" s="36">
        <v>152</v>
      </c>
      <c r="E494" s="17">
        <v>23</v>
      </c>
    </row>
    <row r="495" spans="1:5" ht="15.75">
      <c r="A495" s="69"/>
      <c r="B495" s="69"/>
      <c r="C495" s="57" t="s">
        <v>450</v>
      </c>
      <c r="D495" s="36">
        <v>153</v>
      </c>
      <c r="E495" s="17">
        <v>25</v>
      </c>
    </row>
    <row r="496" spans="1:5" ht="31.5">
      <c r="A496" s="69"/>
      <c r="B496" s="69"/>
      <c r="C496" s="57" t="s">
        <v>451</v>
      </c>
      <c r="D496" s="36">
        <f t="shared" si="4"/>
        <v>174</v>
      </c>
      <c r="E496" s="17">
        <v>29</v>
      </c>
    </row>
    <row r="497" spans="1:5">
      <c r="A497" s="69"/>
      <c r="B497" s="68" t="s">
        <v>6</v>
      </c>
      <c r="C497" s="68"/>
      <c r="D497" s="2">
        <f>SUM(D478:D496)</f>
        <v>4050</v>
      </c>
      <c r="E497" s="2">
        <f>SUM(E478:E496)</f>
        <v>735</v>
      </c>
    </row>
    <row r="498" spans="1:5">
      <c r="A498" s="65">
        <v>51</v>
      </c>
      <c r="B498" s="66" t="s">
        <v>453</v>
      </c>
      <c r="C498" s="4" t="s">
        <v>454</v>
      </c>
      <c r="D498" s="46">
        <v>1365</v>
      </c>
      <c r="E498" s="47">
        <v>258</v>
      </c>
    </row>
    <row r="499" spans="1:5">
      <c r="A499" s="65"/>
      <c r="B499" s="67"/>
      <c r="C499" s="4" t="s">
        <v>455</v>
      </c>
      <c r="D499" s="46">
        <v>676</v>
      </c>
      <c r="E499" s="47">
        <v>125</v>
      </c>
    </row>
    <row r="500" spans="1:5">
      <c r="A500" s="65"/>
      <c r="B500" s="67"/>
      <c r="C500" s="4" t="s">
        <v>456</v>
      </c>
      <c r="D500" s="46">
        <v>755</v>
      </c>
      <c r="E500" s="47">
        <v>125</v>
      </c>
    </row>
    <row r="501" spans="1:5">
      <c r="A501" s="65"/>
      <c r="B501" s="67"/>
      <c r="C501" s="4" t="s">
        <v>457</v>
      </c>
      <c r="D501" s="46">
        <v>885</v>
      </c>
      <c r="E501" s="47">
        <v>175</v>
      </c>
    </row>
    <row r="502" spans="1:5">
      <c r="A502" s="65"/>
      <c r="B502" s="67"/>
      <c r="C502" s="4" t="s">
        <v>458</v>
      </c>
      <c r="D502" s="46">
        <v>486</v>
      </c>
      <c r="E502" s="47">
        <v>70</v>
      </c>
    </row>
    <row r="503" spans="1:5">
      <c r="A503" s="65"/>
      <c r="B503" s="67"/>
      <c r="C503" s="4" t="s">
        <v>278</v>
      </c>
      <c r="D503" s="46">
        <v>518</v>
      </c>
      <c r="E503" s="47">
        <v>95</v>
      </c>
    </row>
    <row r="504" spans="1:5">
      <c r="A504" s="65"/>
      <c r="B504" s="64" t="s">
        <v>6</v>
      </c>
      <c r="C504" s="64"/>
      <c r="D504" s="48">
        <v>4685</v>
      </c>
      <c r="E504" s="48">
        <v>848</v>
      </c>
    </row>
    <row r="505" spans="1:5" ht="15.75">
      <c r="A505" s="61">
        <v>52</v>
      </c>
      <c r="B505" s="61" t="s">
        <v>473</v>
      </c>
      <c r="C505" s="16" t="s">
        <v>459</v>
      </c>
      <c r="D505" s="36">
        <f>+E505*6</f>
        <v>414</v>
      </c>
      <c r="E505" s="17">
        <v>69</v>
      </c>
    </row>
    <row r="506" spans="1:5" ht="15.75">
      <c r="A506" s="62"/>
      <c r="B506" s="62"/>
      <c r="C506" s="16" t="s">
        <v>460</v>
      </c>
      <c r="D506" s="36">
        <f t="shared" ref="D506:D509" si="5">+E506*6</f>
        <v>384</v>
      </c>
      <c r="E506" s="17">
        <v>64</v>
      </c>
    </row>
    <row r="507" spans="1:5" ht="15.75">
      <c r="A507" s="62"/>
      <c r="B507" s="62"/>
      <c r="C507" s="16" t="s">
        <v>461</v>
      </c>
      <c r="D507" s="36">
        <f t="shared" si="5"/>
        <v>324</v>
      </c>
      <c r="E507" s="17">
        <v>54</v>
      </c>
    </row>
    <row r="508" spans="1:5" ht="15.75">
      <c r="A508" s="62"/>
      <c r="B508" s="62"/>
      <c r="C508" s="16" t="s">
        <v>462</v>
      </c>
      <c r="D508" s="36">
        <f t="shared" si="5"/>
        <v>354</v>
      </c>
      <c r="E508" s="17">
        <v>59</v>
      </c>
    </row>
    <row r="509" spans="1:5" ht="15.75">
      <c r="A509" s="62"/>
      <c r="B509" s="62"/>
      <c r="C509" s="16" t="s">
        <v>463</v>
      </c>
      <c r="D509" s="36">
        <f t="shared" si="5"/>
        <v>324</v>
      </c>
      <c r="E509" s="17">
        <v>54</v>
      </c>
    </row>
    <row r="510" spans="1:5" ht="15.75">
      <c r="A510" s="62"/>
      <c r="B510" s="62"/>
      <c r="C510" s="16" t="s">
        <v>464</v>
      </c>
      <c r="D510" s="36">
        <f>+E510*6</f>
        <v>402</v>
      </c>
      <c r="E510" s="17">
        <v>67</v>
      </c>
    </row>
    <row r="511" spans="1:5" ht="15.75">
      <c r="A511" s="62"/>
      <c r="B511" s="62"/>
      <c r="C511" s="16" t="s">
        <v>465</v>
      </c>
      <c r="D511" s="36">
        <v>245</v>
      </c>
      <c r="E511" s="17">
        <v>41</v>
      </c>
    </row>
    <row r="512" spans="1:5" ht="15.75">
      <c r="A512" s="62"/>
      <c r="B512" s="62"/>
      <c r="C512" s="16" t="s">
        <v>466</v>
      </c>
      <c r="D512" s="36">
        <v>187</v>
      </c>
      <c r="E512" s="17">
        <v>33</v>
      </c>
    </row>
    <row r="513" spans="1:5" ht="15.75">
      <c r="A513" s="62"/>
      <c r="B513" s="62"/>
      <c r="C513" s="16" t="s">
        <v>467</v>
      </c>
      <c r="D513" s="36">
        <f t="shared" ref="D513:D518" si="6">+E513*6</f>
        <v>312</v>
      </c>
      <c r="E513" s="17">
        <v>52</v>
      </c>
    </row>
    <row r="514" spans="1:5" ht="15.75">
      <c r="A514" s="62"/>
      <c r="B514" s="62"/>
      <c r="C514" s="16" t="s">
        <v>468</v>
      </c>
      <c r="D514" s="36">
        <f t="shared" si="6"/>
        <v>372</v>
      </c>
      <c r="E514" s="17">
        <v>62</v>
      </c>
    </row>
    <row r="515" spans="1:5" ht="15.75">
      <c r="A515" s="62"/>
      <c r="B515" s="62"/>
      <c r="C515" s="16" t="s">
        <v>469</v>
      </c>
      <c r="D515" s="36">
        <f t="shared" si="6"/>
        <v>192</v>
      </c>
      <c r="E515" s="17">
        <v>32</v>
      </c>
    </row>
    <row r="516" spans="1:5" ht="15.75">
      <c r="A516" s="62"/>
      <c r="B516" s="62"/>
      <c r="C516" s="16" t="s">
        <v>470</v>
      </c>
      <c r="D516" s="36">
        <f t="shared" si="6"/>
        <v>252</v>
      </c>
      <c r="E516" s="17">
        <v>42</v>
      </c>
    </row>
    <row r="517" spans="1:5" ht="15.75">
      <c r="A517" s="62"/>
      <c r="B517" s="62"/>
      <c r="C517" s="16" t="s">
        <v>471</v>
      </c>
      <c r="D517" s="36">
        <v>296</v>
      </c>
      <c r="E517" s="17">
        <v>55</v>
      </c>
    </row>
    <row r="518" spans="1:5" ht="15.75">
      <c r="A518" s="63"/>
      <c r="B518" s="63"/>
      <c r="C518" s="16" t="s">
        <v>472</v>
      </c>
      <c r="D518" s="36">
        <f t="shared" si="6"/>
        <v>138</v>
      </c>
      <c r="E518" s="17">
        <v>23</v>
      </c>
    </row>
    <row r="519" spans="1:5">
      <c r="B519" s="64" t="s">
        <v>6</v>
      </c>
      <c r="C519" s="64"/>
      <c r="D519" s="48">
        <f>SUM(D505:D518)</f>
        <v>4196</v>
      </c>
      <c r="E519" s="48">
        <f>SUM(E505:E518)</f>
        <v>707</v>
      </c>
    </row>
    <row r="520" spans="1:5" s="45" customFormat="1" ht="15.75">
      <c r="A520" s="65">
        <v>1</v>
      </c>
      <c r="B520" s="66" t="s">
        <v>474</v>
      </c>
      <c r="C520" s="8" t="s">
        <v>475</v>
      </c>
      <c r="D520" s="5">
        <v>572</v>
      </c>
      <c r="E520" s="5">
        <v>143</v>
      </c>
    </row>
    <row r="521" spans="1:5" s="45" customFormat="1" ht="15.75">
      <c r="A521" s="65"/>
      <c r="B521" s="67"/>
      <c r="C521" s="8" t="s">
        <v>476</v>
      </c>
      <c r="D521" s="5">
        <v>584</v>
      </c>
      <c r="E521" s="5">
        <v>146</v>
      </c>
    </row>
    <row r="522" spans="1:5" s="45" customFormat="1" ht="15.75">
      <c r="A522" s="65"/>
      <c r="B522" s="67"/>
      <c r="C522" s="8" t="s">
        <v>477</v>
      </c>
      <c r="D522" s="5">
        <v>609</v>
      </c>
      <c r="E522" s="5">
        <v>203</v>
      </c>
    </row>
    <row r="523" spans="1:5" s="45" customFormat="1" ht="15.75">
      <c r="A523" s="65"/>
      <c r="B523" s="67"/>
      <c r="C523" s="8" t="s">
        <v>478</v>
      </c>
      <c r="D523" s="5">
        <v>424</v>
      </c>
      <c r="E523" s="5">
        <v>106</v>
      </c>
    </row>
    <row r="524" spans="1:5" s="45" customFormat="1" ht="15.75">
      <c r="A524" s="65"/>
      <c r="B524" s="67"/>
      <c r="C524" s="8" t="s">
        <v>479</v>
      </c>
      <c r="D524" s="5">
        <v>668</v>
      </c>
      <c r="E524" s="5">
        <v>167</v>
      </c>
    </row>
    <row r="525" spans="1:5" s="45" customFormat="1" ht="15.75">
      <c r="A525" s="65"/>
      <c r="B525" s="67"/>
      <c r="C525" s="8" t="s">
        <v>480</v>
      </c>
      <c r="D525" s="5">
        <v>744</v>
      </c>
      <c r="E525" s="6">
        <v>186</v>
      </c>
    </row>
    <row r="526" spans="1:5" s="45" customFormat="1" ht="15.75">
      <c r="A526" s="65"/>
      <c r="B526" s="67"/>
      <c r="C526" s="8" t="s">
        <v>481</v>
      </c>
      <c r="D526" s="5">
        <v>320</v>
      </c>
      <c r="E526" s="6">
        <v>64</v>
      </c>
    </row>
    <row r="527" spans="1:5" s="45" customFormat="1" ht="15.75">
      <c r="A527" s="65"/>
      <c r="B527" s="67"/>
      <c r="C527" s="8" t="s">
        <v>482</v>
      </c>
      <c r="D527" s="5">
        <v>435</v>
      </c>
      <c r="E527" s="6">
        <v>87</v>
      </c>
    </row>
    <row r="528" spans="1:5" s="45" customFormat="1" ht="15.75">
      <c r="A528" s="65"/>
      <c r="B528" s="67"/>
      <c r="C528" s="8" t="s">
        <v>483</v>
      </c>
      <c r="D528" s="5">
        <v>340</v>
      </c>
      <c r="E528" s="6">
        <v>68</v>
      </c>
    </row>
    <row r="529" spans="1:5" s="45" customFormat="1" ht="15.75">
      <c r="A529" s="65"/>
      <c r="B529" s="67"/>
      <c r="C529" s="8" t="s">
        <v>484</v>
      </c>
      <c r="D529" s="5">
        <v>411</v>
      </c>
      <c r="E529" s="6">
        <v>137</v>
      </c>
    </row>
    <row r="530" spans="1:5" s="45" customFormat="1" ht="15.75">
      <c r="A530" s="65"/>
      <c r="B530" s="67"/>
      <c r="C530" s="8" t="s">
        <v>485</v>
      </c>
      <c r="D530" s="5">
        <v>297</v>
      </c>
      <c r="E530" s="6">
        <v>99</v>
      </c>
    </row>
    <row r="531" spans="1:5" s="45" customFormat="1" ht="15.75">
      <c r="A531" s="65"/>
      <c r="B531" s="67"/>
      <c r="C531" s="8" t="s">
        <v>486</v>
      </c>
      <c r="D531" s="5">
        <v>603</v>
      </c>
      <c r="E531" s="6">
        <v>201</v>
      </c>
    </row>
    <row r="532" spans="1:5" s="45" customFormat="1" ht="15.75">
      <c r="A532" s="65"/>
      <c r="B532" s="67"/>
      <c r="C532" s="8" t="s">
        <v>487</v>
      </c>
      <c r="D532" s="5">
        <v>220</v>
      </c>
      <c r="E532" s="6">
        <v>44</v>
      </c>
    </row>
    <row r="533" spans="1:5" s="45" customFormat="1" ht="15.75">
      <c r="A533" s="65"/>
      <c r="B533" s="67"/>
      <c r="C533" s="8" t="s">
        <v>488</v>
      </c>
      <c r="D533" s="5">
        <v>616</v>
      </c>
      <c r="E533" s="6">
        <v>154</v>
      </c>
    </row>
    <row r="534" spans="1:5" s="45" customFormat="1" ht="15.75">
      <c r="A534" s="65"/>
      <c r="B534" s="67"/>
      <c r="C534" s="8" t="s">
        <v>489</v>
      </c>
      <c r="D534" s="5">
        <v>216</v>
      </c>
      <c r="E534" s="6">
        <v>54</v>
      </c>
    </row>
    <row r="535" spans="1:5" s="45" customFormat="1" ht="15.75">
      <c r="A535" s="65"/>
      <c r="B535" s="67"/>
      <c r="C535" s="8" t="s">
        <v>490</v>
      </c>
      <c r="D535" s="5">
        <v>232</v>
      </c>
      <c r="E535" s="6">
        <v>58</v>
      </c>
    </row>
    <row r="536" spans="1:5" s="45" customFormat="1" ht="15.75">
      <c r="A536" s="65"/>
      <c r="B536" s="67"/>
      <c r="C536" s="8" t="s">
        <v>491</v>
      </c>
      <c r="D536" s="5">
        <v>335</v>
      </c>
      <c r="E536" s="6">
        <v>67</v>
      </c>
    </row>
    <row r="537" spans="1:5" s="45" customFormat="1" ht="15.75">
      <c r="A537" s="65"/>
      <c r="B537" s="67"/>
      <c r="C537" s="8" t="s">
        <v>492</v>
      </c>
      <c r="D537" s="5">
        <v>260</v>
      </c>
      <c r="E537" s="6">
        <v>65</v>
      </c>
    </row>
    <row r="538" spans="1:5" s="45" customFormat="1" ht="15.75">
      <c r="A538" s="65"/>
      <c r="B538" s="67"/>
      <c r="C538" s="8" t="s">
        <v>493</v>
      </c>
      <c r="D538" s="5">
        <v>405</v>
      </c>
      <c r="E538" s="6">
        <v>81</v>
      </c>
    </row>
    <row r="539" spans="1:5" s="45" customFormat="1" ht="15.75">
      <c r="A539" s="65"/>
      <c r="B539" s="67"/>
      <c r="C539" s="8" t="s">
        <v>494</v>
      </c>
      <c r="D539" s="5">
        <v>288</v>
      </c>
      <c r="E539" s="6">
        <v>72</v>
      </c>
    </row>
    <row r="540" spans="1:5" s="45" customFormat="1">
      <c r="A540" s="65"/>
      <c r="B540" s="64" t="s">
        <v>6</v>
      </c>
      <c r="C540" s="64"/>
      <c r="D540" s="48">
        <f>SUM(D520:D539)</f>
        <v>8579</v>
      </c>
      <c r="E540" s="48">
        <f>SUM(E520:E539)</f>
        <v>2202</v>
      </c>
    </row>
  </sheetData>
  <mergeCells count="160">
    <mergeCell ref="A379:A389"/>
    <mergeCell ref="B389:C389"/>
    <mergeCell ref="B379:B388"/>
    <mergeCell ref="B367:C367"/>
    <mergeCell ref="A351:A367"/>
    <mergeCell ref="B351:B366"/>
    <mergeCell ref="A368:A378"/>
    <mergeCell ref="B368:B377"/>
    <mergeCell ref="B378:C378"/>
    <mergeCell ref="A329:A339"/>
    <mergeCell ref="B329:B338"/>
    <mergeCell ref="B339:C339"/>
    <mergeCell ref="A340:A350"/>
    <mergeCell ref="B340:B349"/>
    <mergeCell ref="B350:C350"/>
    <mergeCell ref="A310:A318"/>
    <mergeCell ref="B310:B317"/>
    <mergeCell ref="B318:C318"/>
    <mergeCell ref="A319:A328"/>
    <mergeCell ref="B319:B327"/>
    <mergeCell ref="B328:C328"/>
    <mergeCell ref="A293:A303"/>
    <mergeCell ref="B293:B302"/>
    <mergeCell ref="B303:C303"/>
    <mergeCell ref="A304:A309"/>
    <mergeCell ref="B304:B308"/>
    <mergeCell ref="B309:C309"/>
    <mergeCell ref="A275:A282"/>
    <mergeCell ref="B275:B281"/>
    <mergeCell ref="B282:C282"/>
    <mergeCell ref="B292:C292"/>
    <mergeCell ref="B283:B291"/>
    <mergeCell ref="A283:A292"/>
    <mergeCell ref="A1:E1"/>
    <mergeCell ref="A4:C4"/>
    <mergeCell ref="A5:A11"/>
    <mergeCell ref="B5:B10"/>
    <mergeCell ref="B11:C11"/>
    <mergeCell ref="B39:C39"/>
    <mergeCell ref="A29:A39"/>
    <mergeCell ref="B29:B38"/>
    <mergeCell ref="A12:A20"/>
    <mergeCell ref="B12:B19"/>
    <mergeCell ref="B20:C20"/>
    <mergeCell ref="A21:A28"/>
    <mergeCell ref="B21:B27"/>
    <mergeCell ref="B28:C28"/>
    <mergeCell ref="A40:A47"/>
    <mergeCell ref="B40:B46"/>
    <mergeCell ref="B47:C47"/>
    <mergeCell ref="A48:A58"/>
    <mergeCell ref="B58:C58"/>
    <mergeCell ref="B48:B57"/>
    <mergeCell ref="A59:A69"/>
    <mergeCell ref="B59:B68"/>
    <mergeCell ref="B69:C69"/>
    <mergeCell ref="A70:A76"/>
    <mergeCell ref="B76:C76"/>
    <mergeCell ref="B70:B75"/>
    <mergeCell ref="A108:A113"/>
    <mergeCell ref="B113:C113"/>
    <mergeCell ref="B108:B112"/>
    <mergeCell ref="B86:C86"/>
    <mergeCell ref="A77:A86"/>
    <mergeCell ref="B77:B85"/>
    <mergeCell ref="A87:A96"/>
    <mergeCell ref="B96:C96"/>
    <mergeCell ref="B87:B95"/>
    <mergeCell ref="A97:A107"/>
    <mergeCell ref="B107:C107"/>
    <mergeCell ref="B97:B106"/>
    <mergeCell ref="A114:A124"/>
    <mergeCell ref="B124:C124"/>
    <mergeCell ref="B114:B123"/>
    <mergeCell ref="A125:A133"/>
    <mergeCell ref="B133:C133"/>
    <mergeCell ref="B125:B132"/>
    <mergeCell ref="A134:A144"/>
    <mergeCell ref="B144:C144"/>
    <mergeCell ref="B134:B143"/>
    <mergeCell ref="B150:C150"/>
    <mergeCell ref="A145:A150"/>
    <mergeCell ref="B145:B149"/>
    <mergeCell ref="A151:A162"/>
    <mergeCell ref="B151:B161"/>
    <mergeCell ref="B162:C162"/>
    <mergeCell ref="A163:A169"/>
    <mergeCell ref="B163:B168"/>
    <mergeCell ref="B169:C169"/>
    <mergeCell ref="A170:A176"/>
    <mergeCell ref="B170:B175"/>
    <mergeCell ref="B176:C176"/>
    <mergeCell ref="A177:A185"/>
    <mergeCell ref="B177:B184"/>
    <mergeCell ref="B185:C185"/>
    <mergeCell ref="A186:A202"/>
    <mergeCell ref="B186:B201"/>
    <mergeCell ref="B202:C202"/>
    <mergeCell ref="A203:A209"/>
    <mergeCell ref="B203:B208"/>
    <mergeCell ref="B209:C209"/>
    <mergeCell ref="A210:A216"/>
    <mergeCell ref="B210:B215"/>
    <mergeCell ref="A217:A235"/>
    <mergeCell ref="B235:C235"/>
    <mergeCell ref="B217:B234"/>
    <mergeCell ref="A236:A241"/>
    <mergeCell ref="B236:B240"/>
    <mergeCell ref="B241:C241"/>
    <mergeCell ref="A242:A249"/>
    <mergeCell ref="B242:B248"/>
    <mergeCell ref="B249:C249"/>
    <mergeCell ref="A270:A274"/>
    <mergeCell ref="B270:B273"/>
    <mergeCell ref="B274:C274"/>
    <mergeCell ref="A250:A261"/>
    <mergeCell ref="B250:B260"/>
    <mergeCell ref="B261:C261"/>
    <mergeCell ref="A262:A269"/>
    <mergeCell ref="B269:C269"/>
    <mergeCell ref="B262:B268"/>
    <mergeCell ref="B395:C395"/>
    <mergeCell ref="B390:B394"/>
    <mergeCell ref="A390:A395"/>
    <mergeCell ref="B402:C402"/>
    <mergeCell ref="B396:B401"/>
    <mergeCell ref="A396:A402"/>
    <mergeCell ref="A403:A408"/>
    <mergeCell ref="B403:B407"/>
    <mergeCell ref="B408:C408"/>
    <mergeCell ref="B448:C448"/>
    <mergeCell ref="A442:A448"/>
    <mergeCell ref="B449:B455"/>
    <mergeCell ref="B456:C456"/>
    <mergeCell ref="B442:B447"/>
    <mergeCell ref="A449:A456"/>
    <mergeCell ref="B476:C476"/>
    <mergeCell ref="B457:B475"/>
    <mergeCell ref="A409:A419"/>
    <mergeCell ref="B409:B418"/>
    <mergeCell ref="B419:C419"/>
    <mergeCell ref="B434:C434"/>
    <mergeCell ref="B420:B433"/>
    <mergeCell ref="A420:A434"/>
    <mergeCell ref="B441:C441"/>
    <mergeCell ref="B435:B440"/>
    <mergeCell ref="A435:A441"/>
    <mergeCell ref="B505:B518"/>
    <mergeCell ref="A505:A518"/>
    <mergeCell ref="B519:C519"/>
    <mergeCell ref="A520:A540"/>
    <mergeCell ref="B520:B539"/>
    <mergeCell ref="B540:C540"/>
    <mergeCell ref="B497:C497"/>
    <mergeCell ref="B477:B496"/>
    <mergeCell ref="A457:A476"/>
    <mergeCell ref="A477:A497"/>
    <mergeCell ref="A498:A504"/>
    <mergeCell ref="B504:C504"/>
    <mergeCell ref="B498:B503"/>
  </mergeCells>
  <pageMargins left="0.7" right="0.7" top="0.75" bottom="0.75" header="0.3" footer="0.3"/>
  <pageSetup paperSize="9" scale="89" orientation="portrait" r:id="rId1"/>
  <rowBreaks count="1" manualBreakCount="1">
    <brk id="489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Уйчи</vt:lpstr>
      <vt:lpstr>Уйчи!Область_печати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Ibrat Kh. Sobirov</dc:creator>
  <cp:lastModifiedBy>PC</cp:lastModifiedBy>
  <cp:lastPrinted>2025-10-10T14:31:12Z</cp:lastPrinted>
  <dcterms:created xsi:type="dcterms:W3CDTF">2015-06-05T18:19:34Z</dcterms:created>
  <dcterms:modified xsi:type="dcterms:W3CDTF">2026-02-13T07:02:31Z</dcterms:modified>
</cp:coreProperties>
</file>